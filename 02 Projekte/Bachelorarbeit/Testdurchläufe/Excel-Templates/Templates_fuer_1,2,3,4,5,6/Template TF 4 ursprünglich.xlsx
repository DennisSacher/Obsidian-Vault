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acher\Desktop\Obsidian-Vault\02 Projekte\Bachelorarbeit\Testdurchläufe\Excel-Templates\"/>
    </mc:Choice>
  </mc:AlternateContent>
  <xr:revisionPtr revIDLastSave="0" documentId="13_ncr:1_{A2A3D0A4-B1B3-48FE-A314-9A7E7510E42E}" xr6:coauthVersionLast="47" xr6:coauthVersionMax="47" xr10:uidLastSave="{00000000-0000-0000-0000-000000000000}"/>
  <bookViews>
    <workbookView xWindow="2660" yWindow="2660" windowWidth="19360" windowHeight="9910" xr2:uid="{00000000-000D-0000-FFFF-FFFF00000000}"/>
  </bookViews>
  <sheets>
    <sheet name="Eingabemaske" sheetId="1" r:id="rId1"/>
    <sheet name="Database" sheetId="2" r:id="rId2"/>
  </sheets>
  <definedNames>
    <definedName name="_xlnm._FilterDatabase" localSheetId="1" hidden="1">Database!$A$4:$E$4</definedName>
    <definedName name="Anforderer">Database!$B$5:$B$10</definedName>
    <definedName name="Baukoordinator">Database!$I$5:$I$22</definedName>
    <definedName name="Begründung">Database!$Z$5:$Z$6</definedName>
    <definedName name="Begründung2">Database!$Z$5:$Z$8</definedName>
    <definedName name="BOGUAP">Database!$AC$5:$AC$24</definedName>
    <definedName name="Frage">Database!$X$5:$X$6</definedName>
    <definedName name="GU">Database!$A$5:$A$22</definedName>
    <definedName name="GU7a">Database!$A$5:$A$22</definedName>
    <definedName name="Resources">Database!$Z$5:$Z$8</definedName>
    <definedName name="Tage">Database!$X$10:$X$14</definedName>
    <definedName name="Tage5">Database!$X$10:$X$15</definedName>
    <definedName name="Tätigkeit">Database!#REF!</definedName>
    <definedName name="Tätigkeit2">Database!$V$5:$V$9</definedName>
    <definedName name="Tätigkeit3">Database!$V$5:$V$10</definedName>
    <definedName name="Tätigkeit5">Database!$T$5:$T$21</definedName>
    <definedName name="Tatigkeitfinal">Database!$T$5:$T$22</definedName>
    <definedName name="Techniker">Database!$M$5:$M$22</definedName>
    <definedName name="ticket">Database!$I$15:$I$22</definedName>
    <definedName name="ticket1">Database!$AF$5:$AF$30</definedName>
    <definedName name="tsazeit">Database!$V$5:$V$12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2" l="1"/>
  <c r="Q7" i="2"/>
  <c r="Q6" i="2"/>
  <c r="Q5" i="2"/>
  <c r="D13" i="1" l="1"/>
  <c r="I29" i="1"/>
  <c r="I21" i="1"/>
  <c r="J21" i="1" s="1"/>
  <c r="I22" i="1"/>
  <c r="J22" i="1" s="1"/>
  <c r="I23" i="1"/>
  <c r="J23" i="1" s="1"/>
  <c r="I24" i="1"/>
  <c r="J24" i="1"/>
  <c r="I20" i="1"/>
  <c r="J20" i="1" s="1"/>
  <c r="K20" i="1"/>
  <c r="I27" i="1"/>
  <c r="I28" i="1"/>
  <c r="K24" i="1"/>
  <c r="K21" i="1"/>
  <c r="K22" i="1"/>
  <c r="K23" i="1"/>
  <c r="M7" i="2"/>
  <c r="M6" i="2"/>
  <c r="M5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I5" i="2"/>
  <c r="I6" i="2"/>
  <c r="I7" i="2"/>
  <c r="J15" i="1" l="1"/>
  <c r="K12" i="1"/>
  <c r="M7" i="1" l="1"/>
  <c r="C41" i="1" s="1"/>
  <c r="M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Sanchez Balboa Jose Carlos</author>
    <author>Fähling Pascal</author>
    <author>Buchner Christian</author>
  </authors>
  <commentList>
    <comment ref="C5" authorId="0" shapeId="0" xr:uid="{00000000-0006-0000-0000-000001000000}">
      <text>
        <r>
          <rPr>
            <sz val="9"/>
            <color indexed="81"/>
            <rFont val="Segoe UI"/>
            <family val="2"/>
          </rPr>
          <t>Spezifische Drop-down Menus : 0,1,2,3,4,4.1,8.1, müssen mit GU/Sub Information ergänzt werden. Für mehr Info klicken Sie bitte Link im Zell A1 im Blatt Database an.</t>
        </r>
      </text>
    </comment>
    <comment ref="B6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Bitte immer die E-Mail des Ticketerstellers eintragen</t>
        </r>
      </text>
    </comment>
    <comment ref="B8" authorId="1" shapeId="0" xr:uid="{00000000-0006-0000-0000-000003000000}">
      <text>
        <r>
          <rPr>
            <b/>
            <sz val="9"/>
            <color indexed="81"/>
            <rFont val="Segoe UI"/>
            <family val="2"/>
          </rPr>
          <t>ggf. Subunternehmer</t>
        </r>
      </text>
    </comment>
    <comment ref="C15" authorId="0" shapeId="0" xr:uid="{00000000-0006-0000-0000-000004000000}">
      <text>
        <r>
          <rPr>
            <b/>
            <sz val="9"/>
            <color rgb="FF000000"/>
            <rFont val="Segoe UI"/>
            <family val="2"/>
            <charset val="1"/>
          </rPr>
          <t xml:space="preserve">Genaue Tätigkeitsbeschreibung bei Punkt 5.1. erforderlich.
</t>
        </r>
        <r>
          <rPr>
            <b/>
            <sz val="9"/>
            <color rgb="FF000000"/>
            <rFont val="Segoe UI"/>
            <family val="2"/>
            <charset val="1"/>
          </rPr>
          <t xml:space="preserve">Zeitliche Aufteilung bei Punkt 7.
</t>
        </r>
        <r>
          <rPr>
            <b/>
            <sz val="9"/>
            <color rgb="FF000000"/>
            <rFont val="Segoe UI"/>
            <family val="2"/>
            <charset val="1"/>
          </rPr>
          <t>Weitere Details bei Punkt 12.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B16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5.1 Feld ist erforderlich</t>
        </r>
      </text>
    </comment>
    <comment ref="B18" authorId="1" shapeId="0" xr:uid="{00000000-0006-0000-0000-000006000000}">
      <text>
        <r>
          <rPr>
            <b/>
            <sz val="9"/>
            <color indexed="81"/>
            <rFont val="Segoe UI"/>
            <family val="2"/>
          </rPr>
          <t>Alle Netzelement welche durch die Arbeit ausfallen sind anzugeben.</t>
        </r>
      </text>
    </comment>
    <comment ref="B19" authorId="1" shapeId="0" xr:uid="{00000000-0006-0000-0000-000007000000}">
      <text>
        <r>
          <rPr>
            <b/>
            <sz val="9"/>
            <color indexed="81"/>
            <rFont val="Segoe UI"/>
            <family val="2"/>
          </rPr>
          <t>Alle Netzelement welche durch die Arbeit ausfallen sind anzugeben.</t>
        </r>
      </text>
    </comment>
    <comment ref="B21" authorId="1" shapeId="0" xr:uid="{00000000-0006-0000-0000-000008000000}">
      <text>
        <r>
          <rPr>
            <b/>
            <sz val="9"/>
            <color indexed="81"/>
            <rFont val="Segoe UI"/>
            <family val="2"/>
          </rPr>
          <t>Sollte sich die beantragte Arbeit über mehrere Tage erstrecken, dann hier den Groben Verlauf hinterlegen.</t>
        </r>
      </text>
    </comment>
    <comment ref="C21" authorId="1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Anzahl Tage</t>
        </r>
      </text>
    </comment>
    <comment ref="F21" authorId="2" shapeId="0" xr:uid="{00000000-0006-0000-0000-00000A000000}">
      <text>
        <r>
          <rPr>
            <b/>
            <sz val="9"/>
            <color indexed="81"/>
            <rFont val="Segoe UI"/>
            <family val="2"/>
          </rPr>
          <t>Es muss nicht standardmäßig 16:00 Uhr sein. Viele Arbeiten beenden um 18:00 Uhr oder später. Bitte genauer eintragen</t>
        </r>
      </text>
    </comment>
    <comment ref="G21" authorId="1" shapeId="0" xr:uid="{00000000-0006-0000-0000-00000B000000}">
      <text>
        <r>
          <rPr>
            <b/>
            <sz val="9"/>
            <color indexed="81"/>
            <rFont val="Segoe UI"/>
            <family val="2"/>
          </rPr>
          <t>Stunden in dezimaler Einheit angeben. z.B. 2,5h sind 2 Std 30 Min</t>
        </r>
      </text>
    </comment>
    <comment ref="H21" authorId="1" shapeId="0" xr:uid="{00000000-0006-0000-0000-00000C000000}">
      <text>
        <r>
          <rPr>
            <b/>
            <sz val="9"/>
            <color indexed="81"/>
            <rFont val="Segoe UI"/>
            <family val="2"/>
          </rPr>
          <t>z.B. nähere erläuterung der Arbeit an dem Tag oder Anforderung TEF-BO/Field Force</t>
        </r>
      </text>
    </comment>
    <comment ref="C30" authorId="1" shapeId="0" xr:uid="{00000000-0006-0000-0000-00000D000000}">
      <text>
        <r>
          <rPr>
            <b/>
            <sz val="9"/>
            <color rgb="FF000000"/>
            <rFont val="Segoe UI"/>
            <family val="2"/>
            <charset val="1"/>
          </rPr>
          <t>Wenn ja, dann bei Punkt 7 unter "Beschreibung" beim entsprechendem Tag einfügen.</t>
        </r>
      </text>
    </comment>
    <comment ref="C33" authorId="1" shapeId="0" xr:uid="{00000000-0006-0000-0000-00000E000000}">
      <text>
        <r>
          <rPr>
            <b/>
            <sz val="9"/>
            <color indexed="81"/>
            <rFont val="Segoe UI"/>
            <family val="2"/>
          </rPr>
          <t>Wenn ja, dann bei Punkt 7 unter "Beschreibung" einfügen.</t>
        </r>
      </text>
    </comment>
    <comment ref="C36" authorId="1" shapeId="0" xr:uid="{00000000-0006-0000-0000-00000F000000}">
      <text>
        <r>
          <rPr>
            <b/>
            <sz val="9"/>
            <color rgb="FF000000"/>
            <rFont val="Segoe UI"/>
            <family val="2"/>
            <charset val="1"/>
          </rPr>
          <t>BO vom beauftragten GU auswählen. Für genauere Info, bitte Punkt 2.3.1 im Dokument Ausfall durch PW auf der DAX Plattform lesen.</t>
        </r>
      </text>
    </comment>
    <comment ref="C38" authorId="0" shapeId="0" xr:uid="{00000000-0006-0000-0000-000010000000}">
      <text>
        <r>
          <rPr>
            <b/>
            <sz val="9"/>
            <color rgb="FF000000"/>
            <rFont val="Segoe UI"/>
            <family val="2"/>
            <charset val="1"/>
          </rPr>
          <t>Wenn ja, dann bei Punkt 7 unter "Beschreibung" einfügen.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<sst xmlns="http://schemas.openxmlformats.org/spreadsheetml/2006/main" count="164" uniqueCount="113">
  <si>
    <t>Name</t>
  </si>
  <si>
    <t>Vorname</t>
  </si>
  <si>
    <t>Tel</t>
  </si>
  <si>
    <t>Bauleiter</t>
  </si>
  <si>
    <t>Zusammen</t>
  </si>
  <si>
    <t>Simon</t>
  </si>
  <si>
    <t>Titel</t>
  </si>
  <si>
    <t>Text</t>
  </si>
  <si>
    <t>Auswahlfelder</t>
  </si>
  <si>
    <t xml:space="preserve">1. TEF Autragnehmer: </t>
  </si>
  <si>
    <t>Baukoordinator</t>
  </si>
  <si>
    <t xml:space="preserve">2. Anforderer: </t>
  </si>
  <si>
    <t xml:space="preserve">3. Baukoordinator: </t>
  </si>
  <si>
    <t xml:space="preserve">5. Tätigkeit: </t>
  </si>
  <si>
    <t>Ja</t>
  </si>
  <si>
    <t>Nein</t>
  </si>
  <si>
    <t>Rifu Betroffen</t>
  </si>
  <si>
    <t>Techniker</t>
  </si>
  <si>
    <t>Manuel</t>
  </si>
  <si>
    <t>Resources</t>
  </si>
  <si>
    <t xml:space="preserve">Wegen fehlender Resources </t>
  </si>
  <si>
    <t>Umrouting</t>
  </si>
  <si>
    <t>Umrouting Arbeit benötigt</t>
  </si>
  <si>
    <t>Inbetriebnahme</t>
  </si>
  <si>
    <t>TXT</t>
  </si>
  <si>
    <t>1. GU</t>
  </si>
  <si>
    <t>2 Anforderer</t>
  </si>
  <si>
    <t>8. Tätigkeit SA Zeit</t>
  </si>
  <si>
    <t xml:space="preserve">5. Tätigkeit </t>
  </si>
  <si>
    <t xml:space="preserve">Tätigkeit (Kurzbeschreibung): </t>
  </si>
  <si>
    <t>8. Tage Wahl</t>
  </si>
  <si>
    <t>9.1. Begründung</t>
  </si>
  <si>
    <t>5. &amp; 6. &amp; 10. Frage Wahl</t>
  </si>
  <si>
    <t>_</t>
  </si>
  <si>
    <t>Keine</t>
  </si>
  <si>
    <t>Keine BOTA benötigt</t>
  </si>
  <si>
    <t>Max</t>
  </si>
  <si>
    <t>Mustermann</t>
  </si>
  <si>
    <t>Maxin</t>
  </si>
  <si>
    <t>Müller</t>
  </si>
  <si>
    <t>Datum</t>
  </si>
  <si>
    <t>Mustermann Max</t>
  </si>
  <si>
    <t xml:space="preserve">10. Field Force Support: </t>
  </si>
  <si>
    <t>Tag 1</t>
  </si>
  <si>
    <t>Tag 2</t>
  </si>
  <si>
    <t>Tag 3</t>
  </si>
  <si>
    <t>Tag 4</t>
  </si>
  <si>
    <t>Tag 5</t>
  </si>
  <si>
    <t xml:space="preserve">8. GU-BO Support: </t>
  </si>
  <si>
    <t>9.1 Begründung:</t>
  </si>
  <si>
    <t xml:space="preserve">10.1 Begründung: </t>
  </si>
  <si>
    <t xml:space="preserve">9. Telefónica BO Support: </t>
  </si>
  <si>
    <t>SA-Dauer h</t>
  </si>
  <si>
    <t>Beginn</t>
  </si>
  <si>
    <t>Ende</t>
  </si>
  <si>
    <t>Beschreibung</t>
  </si>
  <si>
    <t>Bitte Begründung angeben und "TEF BO Support" bei Punkt 7 eintragen!</t>
  </si>
  <si>
    <t>Bitte Begründung angeben und "Field Force Support" bei Punkt 7 eintragen!</t>
  </si>
  <si>
    <t>01790815555</t>
  </si>
  <si>
    <t xml:space="preserve">11. BO Assigment Group falls AdPW und Techniker vor Ort: </t>
  </si>
  <si>
    <t>8.1 BO-Support:</t>
  </si>
  <si>
    <t>8.1 GU-BO Auswahl</t>
  </si>
  <si>
    <t>Zuständigkiet</t>
  </si>
  <si>
    <t>Assigment Group</t>
  </si>
  <si>
    <t>BOGU Mitarbeiter2</t>
  </si>
  <si>
    <t>BOGU Mitarbeiter3</t>
  </si>
  <si>
    <t>Keiner</t>
  </si>
  <si>
    <t xml:space="preserve">11. BO Assigned Group falls AdPW und Techniker vor Ort: </t>
  </si>
  <si>
    <t>5.1 Tätigkeit Details</t>
  </si>
  <si>
    <t xml:space="preserve">5.1 Tätigkeit Details: </t>
  </si>
  <si>
    <t xml:space="preserve">12. Sonstige Bemerkungen und/oder weitere Details: </t>
  </si>
  <si>
    <t>Info für die Anpassung der DropDown Menus</t>
  </si>
  <si>
    <t>BO/GU Info</t>
  </si>
  <si>
    <t xml:space="preserve">0. Ticketersteller E-Mail: </t>
  </si>
  <si>
    <t>Gloria Plattform</t>
  </si>
  <si>
    <t xml:space="preserve">6.1 Betroffene Services (NE’s/RiFus) numerisch: </t>
  </si>
  <si>
    <t>6. Betroffener Standort:</t>
  </si>
  <si>
    <t xml:space="preserve">7. Zeitraum, wenn Ausfall über mehrere Tage:
</t>
  </si>
  <si>
    <t>2.1 Anlagenverantwortung</t>
  </si>
  <si>
    <t>4.2 Anlagenverantwortung</t>
  </si>
  <si>
    <t>4.0_4.1 Techniker Vor-Ort</t>
  </si>
  <si>
    <t xml:space="preserve">4.1 Zweiter Techniker vor Ort: </t>
  </si>
  <si>
    <t>2.1 Anlagenverantwortung:</t>
  </si>
  <si>
    <t>4.2 VEFK, Ansprechpartner GU / SUB:</t>
  </si>
  <si>
    <t xml:space="preserve">4. Techniker vor Ort / Elektrofachkraft: </t>
  </si>
  <si>
    <t>GU/BO Info - Work Info Template v1.51</t>
  </si>
  <si>
    <t>Telekom / DFMG</t>
  </si>
  <si>
    <t>Vodafone / Vantage</t>
  </si>
  <si>
    <t>1+1 / Versatel</t>
  </si>
  <si>
    <t>ATC</t>
  </si>
  <si>
    <t xml:space="preserve">ASI Abschaltung </t>
  </si>
  <si>
    <t xml:space="preserve">Bitte Beschreiben den Bedarf von der Abschaltung Radio Tef-Antennen </t>
  </si>
  <si>
    <t>Umbau von TEF Technik</t>
  </si>
  <si>
    <t>Bitte gib genau an, welche Technik betroffen ist ( z. B. Zentralmast, Mast sekundär, Antennenträger, Antenne, Rifuantenne, Jumperkabel, RETs, Radiomudule, SSC, Router oder... ) Ersatzmassnahmen sind hier einzutragen</t>
  </si>
  <si>
    <t>Umbau von TEF Technik auf andere Stelle</t>
  </si>
  <si>
    <t>MINU</t>
  </si>
  <si>
    <t>Incident</t>
  </si>
  <si>
    <t>Bitte explizit INC Nummer und kurze Beschreibung anzugeben</t>
  </si>
  <si>
    <t>450 Connect</t>
  </si>
  <si>
    <t>Connect 44</t>
  </si>
  <si>
    <t>BAYFU-GU_00-Inbox</t>
  </si>
  <si>
    <t>Firma X</t>
  </si>
  <si>
    <t xml:space="preserve">Sven </t>
  </si>
  <si>
    <t>Sven Mustermann</t>
  </si>
  <si>
    <t>VMK-635/Sonstige</t>
  </si>
  <si>
    <t>max.mustermann@muster-bau.example</t>
  </si>
  <si>
    <t>Muster Bau GmbH</t>
  </si>
  <si>
    <t>Musterfrau Erika</t>
  </si>
  <si>
    <t>120990497</t>
  </si>
  <si>
    <t>Erika</t>
  </si>
  <si>
    <t>Musterfrau</t>
  </si>
  <si>
    <t>+49 160 7654321</t>
  </si>
  <si>
    <t>+49 171 1234567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</si>
</sst>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$-F800]dddd\,\ mmmm\ dd\,\ yyyy"/>
    <numFmt numFmtId="166" formatCode="0.0#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0"/>
      <color rgb="FF000080"/>
      <name val="Tahoma"/>
      <family val="2"/>
    </font>
    <font>
      <sz val="11"/>
      <color rgb="FF1F497D"/>
      <name val="Tahoma"/>
      <family val="2"/>
    </font>
    <font>
      <sz val="11"/>
      <color theme="0" tint="-0.14999847407452621"/>
      <name val="Tahoma"/>
      <family val="2"/>
    </font>
    <font>
      <sz val="9"/>
      <color rgb="FF000000"/>
      <name val="Calibri"/>
      <family val="2"/>
    </font>
    <font>
      <b/>
      <sz val="8"/>
      <color theme="1"/>
      <name val="Arial"/>
      <family val="2"/>
    </font>
    <font>
      <b/>
      <sz val="16"/>
      <color theme="1"/>
      <name val="Tahoma"/>
      <family val="2"/>
    </font>
    <font>
      <u/>
      <sz val="18"/>
      <color theme="10"/>
      <name val="Calibri"/>
      <family val="2"/>
    </font>
    <font>
      <u/>
      <sz val="16"/>
      <color theme="10"/>
      <name val="Calibri"/>
      <family val="2"/>
    </font>
    <font>
      <sz val="11"/>
      <name val="Tahoma"/>
      <family val="2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89">
    <xf numFmtId="0" fontId="0" fillId="0" borderId="0" xfId="0"/>
    <xf numFmtId="0" fontId="0" fillId="0" borderId="1" xfId="0" applyBorder="1"/>
    <xf numFmtId="0" fontId="4" fillId="2" borderId="1" xfId="0" applyFont="1" applyFill="1" applyBorder="1"/>
    <xf numFmtId="0" fontId="0" fillId="3" borderId="0" xfId="0" applyFill="1"/>
    <xf numFmtId="0" fontId="0" fillId="2" borderId="1" xfId="0" applyFill="1" applyBorder="1"/>
    <xf numFmtId="0" fontId="4" fillId="4" borderId="1" xfId="0" applyFont="1" applyFill="1" applyBorder="1"/>
    <xf numFmtId="0" fontId="0" fillId="4" borderId="1" xfId="0" applyFill="1" applyBorder="1"/>
    <xf numFmtId="0" fontId="4" fillId="5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0" fontId="1" fillId="0" borderId="1" xfId="2" applyBorder="1"/>
    <xf numFmtId="0" fontId="0" fillId="4" borderId="0" xfId="0" applyFill="1"/>
    <xf numFmtId="0" fontId="4" fillId="4" borderId="0" xfId="0" applyFont="1" applyFill="1"/>
    <xf numFmtId="0" fontId="4" fillId="6" borderId="1" xfId="0" applyFont="1" applyFill="1" applyBorder="1"/>
    <xf numFmtId="0" fontId="6" fillId="0" borderId="0" xfId="0" applyFont="1"/>
    <xf numFmtId="0" fontId="7" fillId="7" borderId="1" xfId="0" applyFont="1" applyFill="1" applyBorder="1"/>
    <xf numFmtId="0" fontId="7" fillId="2" borderId="1" xfId="0" applyFont="1" applyFill="1" applyBorder="1"/>
    <xf numFmtId="0" fontId="7" fillId="8" borderId="1" xfId="0" applyFont="1" applyFill="1" applyBorder="1"/>
    <xf numFmtId="0" fontId="6" fillId="0" borderId="0" xfId="0" applyFont="1" applyAlignment="1">
      <alignment wrapText="1"/>
    </xf>
    <xf numFmtId="0" fontId="7" fillId="8" borderId="1" xfId="0" applyFont="1" applyFill="1" applyBorder="1" applyAlignment="1">
      <alignment vertical="top" wrapText="1"/>
    </xf>
    <xf numFmtId="0" fontId="6" fillId="9" borderId="2" xfId="0" applyFont="1" applyFill="1" applyBorder="1"/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/>
    </xf>
    <xf numFmtId="0" fontId="6" fillId="0" borderId="1" xfId="0" applyFont="1" applyBorder="1"/>
    <xf numFmtId="14" fontId="6" fillId="0" borderId="1" xfId="0" applyNumberFormat="1" applyFont="1" applyBorder="1"/>
    <xf numFmtId="164" fontId="6" fillId="0" borderId="1" xfId="0" applyNumberFormat="1" applyFont="1" applyBorder="1"/>
    <xf numFmtId="166" fontId="6" fillId="0" borderId="1" xfId="0" applyNumberFormat="1" applyFont="1" applyBorder="1"/>
    <xf numFmtId="0" fontId="6" fillId="10" borderId="0" xfId="0" applyFont="1" applyFill="1"/>
    <xf numFmtId="0" fontId="8" fillId="10" borderId="0" xfId="0" applyFont="1" applyFill="1" applyAlignment="1">
      <alignment wrapText="1"/>
    </xf>
    <xf numFmtId="49" fontId="6" fillId="10" borderId="0" xfId="0" applyNumberFormat="1" applyFont="1" applyFill="1"/>
    <xf numFmtId="164" fontId="6" fillId="10" borderId="0" xfId="0" applyNumberFormat="1" applyFont="1" applyFill="1"/>
    <xf numFmtId="0" fontId="6" fillId="10" borderId="0" xfId="0" applyFont="1" applyFill="1" applyAlignment="1">
      <alignment wrapText="1"/>
    </xf>
    <xf numFmtId="0" fontId="8" fillId="10" borderId="0" xfId="0" applyFont="1" applyFill="1"/>
    <xf numFmtId="165" fontId="6" fillId="10" borderId="0" xfId="0" applyNumberFormat="1" applyFont="1" applyFill="1"/>
    <xf numFmtId="0" fontId="9" fillId="10" borderId="0" xfId="0" applyFont="1" applyFill="1"/>
    <xf numFmtId="0" fontId="7" fillId="7" borderId="1" xfId="0" applyFont="1" applyFill="1" applyBorder="1" applyAlignment="1">
      <alignment vertical="top" wrapText="1"/>
    </xf>
    <xf numFmtId="0" fontId="10" fillId="10" borderId="0" xfId="0" applyFont="1" applyFill="1"/>
    <xf numFmtId="49" fontId="0" fillId="0" borderId="1" xfId="0" applyNumberFormat="1" applyBorder="1"/>
    <xf numFmtId="49" fontId="0" fillId="0" borderId="0" xfId="0" applyNumberFormat="1"/>
    <xf numFmtId="0" fontId="6" fillId="9" borderId="1" xfId="0" applyFont="1" applyFill="1" applyBorder="1" applyAlignment="1">
      <alignment horizontal="left" vertical="top"/>
    </xf>
    <xf numFmtId="20" fontId="6" fillId="0" borderId="3" xfId="0" applyNumberFormat="1" applyFont="1" applyBorder="1"/>
    <xf numFmtId="0" fontId="6" fillId="0" borderId="3" xfId="0" applyFont="1" applyBorder="1"/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wrapText="1"/>
    </xf>
    <xf numFmtId="0" fontId="0" fillId="11" borderId="1" xfId="0" applyFill="1" applyBorder="1"/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0" fillId="8" borderId="1" xfId="0" applyFill="1" applyBorder="1"/>
    <xf numFmtId="0" fontId="0" fillId="8" borderId="3" xfId="0" applyFill="1" applyBorder="1"/>
    <xf numFmtId="0" fontId="7" fillId="7" borderId="1" xfId="0" applyFont="1" applyFill="1" applyBorder="1" applyAlignment="1">
      <alignment horizontal="left" vertical="top" wrapText="1"/>
    </xf>
    <xf numFmtId="0" fontId="7" fillId="7" borderId="3" xfId="0" applyFont="1" applyFill="1" applyBorder="1"/>
    <xf numFmtId="0" fontId="6" fillId="0" borderId="4" xfId="0" applyFont="1" applyBorder="1"/>
    <xf numFmtId="0" fontId="6" fillId="0" borderId="3" xfId="0" applyFont="1" applyBorder="1" applyAlignment="1">
      <alignment vertical="top" wrapText="1"/>
    </xf>
    <xf numFmtId="0" fontId="6" fillId="10" borderId="0" xfId="0" applyFont="1" applyFill="1" applyAlignment="1">
      <alignment horizontal="left" vertical="top" wrapText="1"/>
    </xf>
    <xf numFmtId="0" fontId="7" fillId="10" borderId="0" xfId="0" applyFont="1" applyFill="1" applyAlignment="1">
      <alignment horizontal="right" vertical="top" wrapText="1"/>
    </xf>
    <xf numFmtId="0" fontId="6" fillId="10" borderId="0" xfId="0" applyFont="1" applyFill="1" applyAlignment="1">
      <alignment vertical="top"/>
    </xf>
    <xf numFmtId="0" fontId="6" fillId="9" borderId="0" xfId="0" applyFont="1" applyFill="1"/>
    <xf numFmtId="14" fontId="7" fillId="7" borderId="1" xfId="0" applyNumberFormat="1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wrapText="1"/>
    </xf>
    <xf numFmtId="0" fontId="4" fillId="4" borderId="2" xfId="0" applyFont="1" applyFill="1" applyBorder="1"/>
    <xf numFmtId="49" fontId="0" fillId="0" borderId="2" xfId="0" applyNumberFormat="1" applyBorder="1"/>
    <xf numFmtId="16" fontId="0" fillId="4" borderId="1" xfId="0" applyNumberFormat="1" applyFill="1" applyBorder="1"/>
    <xf numFmtId="16" fontId="4" fillId="4" borderId="1" xfId="0" applyNumberFormat="1" applyFont="1" applyFill="1" applyBorder="1"/>
    <xf numFmtId="0" fontId="6" fillId="0" borderId="1" xfId="0" applyFont="1" applyBorder="1" applyAlignment="1">
      <alignment vertical="center"/>
    </xf>
    <xf numFmtId="0" fontId="16" fillId="0" borderId="1" xfId="0" applyFont="1" applyBorder="1"/>
    <xf numFmtId="14" fontId="16" fillId="0" borderId="1" xfId="0" applyNumberFormat="1" applyFont="1" applyBorder="1"/>
    <xf numFmtId="164" fontId="16" fillId="0" borderId="1" xfId="0" applyNumberFormat="1" applyFont="1" applyBorder="1"/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wrapText="1"/>
    </xf>
    <xf numFmtId="0" fontId="5" fillId="0" borderId="2" xfId="1" applyBorder="1" applyAlignment="1" applyProtection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6" fillId="9" borderId="7" xfId="0" applyFont="1" applyFill="1" applyBorder="1" applyAlignment="1">
      <alignment horizontal="center" wrapText="1"/>
    </xf>
    <xf numFmtId="0" fontId="6" fillId="9" borderId="8" xfId="0" applyFont="1" applyFill="1" applyBorder="1" applyAlignment="1">
      <alignment horizontal="center" wrapText="1"/>
    </xf>
    <xf numFmtId="0" fontId="6" fillId="9" borderId="14" xfId="0" applyFont="1" applyFill="1" applyBorder="1" applyAlignment="1">
      <alignment horizontal="center" wrapText="1"/>
    </xf>
    <xf numFmtId="0" fontId="6" fillId="9" borderId="0" xfId="0" applyFont="1" applyFill="1" applyAlignment="1">
      <alignment horizontal="center" wrapText="1"/>
    </xf>
    <xf numFmtId="0" fontId="6" fillId="9" borderId="9" xfId="0" applyFont="1" applyFill="1" applyBorder="1" applyAlignment="1">
      <alignment horizontal="center" wrapText="1"/>
    </xf>
    <xf numFmtId="0" fontId="6" fillId="9" borderId="10" xfId="0" applyFont="1" applyFill="1" applyBorder="1" applyAlignment="1">
      <alignment horizontal="center" wrapText="1"/>
    </xf>
    <xf numFmtId="0" fontId="5" fillId="0" borderId="2" xfId="1" applyBorder="1" applyAlignment="1" applyProtection="1"/>
    <xf numFmtId="0" fontId="0" fillId="0" borderId="5" xfId="0" applyBorder="1"/>
    <xf numFmtId="0" fontId="0" fillId="0" borderId="6" xfId="0" applyBorder="1"/>
    <xf numFmtId="0" fontId="13" fillId="10" borderId="0" xfId="0" applyFont="1" applyFill="1" applyAlignment="1">
      <alignment horizontal="left"/>
    </xf>
    <xf numFmtId="0" fontId="14" fillId="0" borderId="0" xfId="1" applyFont="1" applyAlignment="1" applyProtection="1">
      <alignment horizontal="center"/>
    </xf>
    <xf numFmtId="0" fontId="15" fillId="0" borderId="0" xfId="1" applyFont="1" applyAlignment="1" applyProtection="1">
      <alignment horizontal="center"/>
    </xf>
  </cellXfs>
  <cellStyles count="3">
    <cellStyle name="Link" xfId="1" builtinId="8"/>
    <cellStyle name="Standard" xfId="0" builtinId="0"/>
    <cellStyle name="Standard 3" xfId="2" xr:uid="{00000000-0005-0000-0000-000002000000}"/>
  </cellStyles>
  <dxfs count="5">
    <dxf>
      <font>
        <color theme="0"/>
      </font>
    </dxf>
    <dxf>
      <font>
        <color rgb="FFFF0000"/>
      </font>
    </dxf>
    <dxf>
      <font>
        <color rgb="FFFF0000"/>
      </font>
    </dxf>
    <dxf>
      <font>
        <b val="0"/>
        <i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loria.telefonica.de/" TargetMode="External"/><Relationship Id="rId2" Type="http://schemas.openxmlformats.org/officeDocument/2006/relationships/hyperlink" Target="https://dax.portal.telefonica.de/wiki" TargetMode="External"/><Relationship Id="rId1" Type="http://schemas.openxmlformats.org/officeDocument/2006/relationships/hyperlink" Target="https://support.office.com/de-de/article/Hinzuf%C3%BCgen-oder-Entfernen-von-Eintr%C3%A4gen-aus-einer-Dropdownliste-0B26D3D1-3C4D-41F5-ADB4-0ADDB82E8D2C?ui=de-DE&amp;rs=de-DE&amp;ad=DE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topLeftCell="A16" zoomScale="70" zoomScaleNormal="70" workbookViewId="0">
      <selection activeCell="F24" sqref="F24"/>
    </sheetView>
  </sheetViews>
  <sheetFormatPr baseColWidth="10" defaultColWidth="11.453125" defaultRowHeight="14" x14ac:dyDescent="0.3"/>
  <cols>
    <col min="1" max="1" width="2.453125" style="14" customWidth="1"/>
    <col min="2" max="2" width="44.453125" style="14" customWidth="1"/>
    <col min="3" max="3" width="26.81640625" style="14" customWidth="1"/>
    <col min="4" max="4" width="13.1796875" style="14" customWidth="1"/>
    <col min="5" max="5" width="9.453125" style="14" customWidth="1"/>
    <col min="6" max="6" width="7.36328125" style="14" customWidth="1"/>
    <col min="7" max="7" width="11.453125" style="14" bestFit="1" customWidth="1"/>
    <col min="8" max="8" width="35.36328125" style="14" customWidth="1"/>
    <col min="9" max="11" width="11" style="14" hidden="1" customWidth="1"/>
    <col min="12" max="12" width="1.1796875" style="14" hidden="1" customWidth="1"/>
    <col min="13" max="13" width="69.1796875" style="14" hidden="1" customWidth="1"/>
    <col min="14" max="15" width="11.453125" style="14"/>
    <col min="16" max="16" width="95.453125" style="14" customWidth="1"/>
    <col min="17" max="17" width="37.1796875" style="14" customWidth="1"/>
    <col min="18" max="18" width="144" style="14" bestFit="1" customWidth="1"/>
    <col min="19" max="16384" width="11.453125" style="14"/>
  </cols>
  <sheetData>
    <row r="1" spans="1:16" ht="10.5" customHeigh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0" x14ac:dyDescent="0.4">
      <c r="A2" s="27"/>
      <c r="B2" s="86" t="s">
        <v>85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27"/>
      <c r="O2" s="27"/>
      <c r="P2" s="27"/>
    </row>
    <row r="3" spans="1:16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hidden="1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x14ac:dyDescent="0.3">
      <c r="A5" s="27"/>
      <c r="B5" s="27"/>
      <c r="C5" s="50" t="s">
        <v>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14.25" customHeight="1" x14ac:dyDescent="0.35">
      <c r="A6" s="27"/>
      <c r="B6" s="15" t="s">
        <v>73</v>
      </c>
      <c r="C6" s="83" t="s">
        <v>105</v>
      </c>
      <c r="D6" s="84"/>
      <c r="E6" s="84"/>
      <c r="F6" s="85"/>
      <c r="G6" s="27"/>
      <c r="H6" s="27"/>
      <c r="L6" s="27"/>
      <c r="M6" s="16" t="s">
        <v>72</v>
      </c>
      <c r="N6" s="27"/>
      <c r="O6" s="27"/>
      <c r="P6" s="27"/>
    </row>
    <row r="7" spans="1:16" ht="18" customHeight="1" x14ac:dyDescent="0.3">
      <c r="A7" s="27"/>
      <c r="B7" s="17" t="s">
        <v>9</v>
      </c>
      <c r="C7" s="51" t="s">
        <v>87</v>
      </c>
      <c r="D7" s="27"/>
      <c r="E7" s="27"/>
      <c r="F7" s="27"/>
      <c r="G7" s="27"/>
      <c r="H7" s="27"/>
      <c r="L7" s="27"/>
      <c r="M7" s="52" t="str">
        <f>TRIM(B2
&amp;CHAR(10)&amp;B6&amp;C6
&amp;CHAR(10)&amp;B7&amp;C7
&amp;CHAR(10)&amp;B8&amp;C8
&amp;CHAR(10)&amp;B9&amp;C9
&amp;CHAR(10)&amp;B11&amp;C11&amp;" / "&amp;VLOOKUP(C11,Database!I:J,2,0)
&amp;CHAR(10)&amp;B12&amp;C12&amp;" / "&amp;VLOOKUP(C12,Database!M:N,2,0)
&amp;CHAR(10)&amp;"  "&amp;K12
&amp;CHAR(10)&amp;B14&amp;C14&amp;" / "&amp;VLOOKUP(C14,Database!Q:R,2,0)
&amp;CHAR(10)&amp;B15&amp;C15&amp;" / "&amp;VLOOKUP(C15,Database!T:U,2,0)
&amp;CHAR(10)&amp;B16&amp;C16
&amp;CHAR(10)&amp;B18&amp;C18
&amp;CHAR(10)&amp;B19&amp;C19
&amp;CHAR(10)&amp;B21&amp;J15
&amp;I29
&amp;CHAR(10)&amp;I27
&amp;CHAR(10)&amp;I28
&amp;CHAR(10)&amp;B36&amp;C36&amp;" / "&amp;CHAR(10)&amp;VLOOKUP(C36,Database!AF:AG,2,0)
&amp;CHAR(10)&amp;B38&amp;SUBSTITUTE(C38," ",""))</f>
        <v>GU/BO Info - Work Info Template v1.51
0. Ticketersteller E-Mail: max.mustermann@muster-bau.example
1. TEF Autragnehmer: Vodafone / Vantage
2. Anforderer: Muster Bau GmbH
2.1 Anlagenverantwortung:Nein
3. Baukoordinator: Mustermann Max / +49 171 1234567
4. Techniker vor Ort / Elektrofachkraft: Musterfrau Erika / +49 160 7654321
4.2 VEFK, Ansprechpartner GU / SUB:Mustermann Max / +49 171 1234567
5. Tätigkeit: ASI Abschaltung / Bitte Beschreiben den Bedarf von der Abschaltung Radio Tef-Antennen 
5.1 Tätigkeit Details: 
6. Betroffener Standort:120990497
6.1 Betroffene Services (NE’s/RiFus) numerisch: 
7. Zeitraum, wenn Ausfall über mehrere Tage:
09.11.2026 8:00-9:00 ca. 1 Std MINU | 
10.11.2026 8:00-9:00 ca. 1 Std MINU | 
11.11.2026 8:00-9:00 ca. 1 Std MINU | 
8. GU-BO Support: Nein
9. Telefónica BO Support: Nein
10. Field Force Support: Nein
11. BO Assigned Group falls AdPW und Techniker vor Ort: BAYFU-GU_00-Inbox / 
BAYFU-GU_00-Inbox
12. Sonstige Bemerkungen und/oder weitere Details:</v>
      </c>
      <c r="N7" s="31"/>
      <c r="O7" s="27"/>
      <c r="P7" s="27"/>
    </row>
    <row r="8" spans="1:16" x14ac:dyDescent="0.3">
      <c r="A8" s="27"/>
      <c r="B8" s="15" t="s">
        <v>11</v>
      </c>
      <c r="C8" s="23" t="s">
        <v>106</v>
      </c>
      <c r="D8" s="27"/>
      <c r="E8" s="27"/>
      <c r="F8" s="27"/>
      <c r="G8" s="27"/>
      <c r="H8" s="27"/>
      <c r="L8" s="27"/>
      <c r="M8" s="27"/>
      <c r="N8" s="32"/>
      <c r="O8" s="27"/>
      <c r="P8" s="27"/>
    </row>
    <row r="9" spans="1:16" x14ac:dyDescent="0.3">
      <c r="A9" s="27"/>
      <c r="B9" s="15" t="s">
        <v>82</v>
      </c>
      <c r="C9" s="23" t="s">
        <v>15</v>
      </c>
      <c r="D9" s="27"/>
      <c r="E9" s="27"/>
      <c r="F9" s="27"/>
      <c r="G9" s="27"/>
      <c r="H9" s="27"/>
      <c r="L9" s="27"/>
      <c r="M9" s="27"/>
      <c r="N9" s="32"/>
      <c r="O9" s="27"/>
      <c r="P9" s="27"/>
    </row>
    <row r="10" spans="1:16" ht="22.5" customHeight="1" x14ac:dyDescent="0.3">
      <c r="A10" s="27"/>
      <c r="B10" s="27"/>
      <c r="C10" s="27"/>
      <c r="D10" s="27"/>
      <c r="E10" s="27"/>
      <c r="F10" s="27"/>
      <c r="G10" s="27"/>
      <c r="H10" s="27"/>
      <c r="L10" s="27"/>
      <c r="M10" s="53"/>
      <c r="N10" s="32"/>
      <c r="O10" s="27"/>
      <c r="P10" s="27"/>
    </row>
    <row r="11" spans="1:16" x14ac:dyDescent="0.3">
      <c r="A11" s="27"/>
      <c r="B11" s="15" t="s">
        <v>12</v>
      </c>
      <c r="C11" s="23" t="s">
        <v>41</v>
      </c>
      <c r="D11" s="27"/>
      <c r="E11" s="27"/>
      <c r="F11" s="27"/>
      <c r="G11" s="27"/>
      <c r="H11" s="27"/>
      <c r="L11" s="27"/>
      <c r="M11" s="27"/>
      <c r="N11" s="32"/>
      <c r="O11" s="27"/>
      <c r="P11" s="33"/>
    </row>
    <row r="12" spans="1:16" x14ac:dyDescent="0.3">
      <c r="A12" s="27"/>
      <c r="B12" s="58" t="s">
        <v>84</v>
      </c>
      <c r="C12" s="63" t="s">
        <v>107</v>
      </c>
      <c r="D12" s="27"/>
      <c r="E12" s="27"/>
      <c r="F12" s="27"/>
      <c r="G12" s="27"/>
      <c r="H12" s="27"/>
      <c r="K12" s="14" t="str">
        <f>IF(C13="","",B13&amp;" "&amp;CHAR(10)&amp;C13&amp;" "&amp;VLOOKUP(C13,Database!M:N,2,0))</f>
        <v/>
      </c>
      <c r="L12" s="27"/>
      <c r="M12" s="27"/>
      <c r="N12" s="32"/>
      <c r="O12" s="27"/>
      <c r="P12" s="27"/>
    </row>
    <row r="13" spans="1:16" ht="15" customHeight="1" x14ac:dyDescent="0.3">
      <c r="A13" s="27"/>
      <c r="B13" s="15" t="s">
        <v>81</v>
      </c>
      <c r="C13" s="23"/>
      <c r="D13" s="77" t="str">
        <f>VLOOKUP(C15,Database!T:U,2,0)</f>
        <v xml:space="preserve">Bitte Beschreiben den Bedarf von der Abschaltung Radio Tef-Antennen </v>
      </c>
      <c r="E13" s="78"/>
      <c r="F13" s="78"/>
      <c r="G13" s="78"/>
      <c r="H13" s="78"/>
      <c r="L13" s="27"/>
      <c r="M13" s="70" t="str">
        <f>M7</f>
        <v>GU/BO Info - Work Info Template v1.51
0. Ticketersteller E-Mail: max.mustermann@muster-bau.example
1. TEF Autragnehmer: Vodafone / Vantage
2. Anforderer: Muster Bau GmbH
2.1 Anlagenverantwortung:Nein
3. Baukoordinator: Mustermann Max / +49 171 1234567
4. Techniker vor Ort / Elektrofachkraft: Musterfrau Erika / +49 160 7654321
4.2 VEFK, Ansprechpartner GU / SUB:Mustermann Max / +49 171 1234567
5. Tätigkeit: ASI Abschaltung / Bitte Beschreiben den Bedarf von der Abschaltung Radio Tef-Antennen 
5.1 Tätigkeit Details: 
6. Betroffener Standort:120990497
6.1 Betroffene Services (NE’s/RiFus) numerisch: 
7. Zeitraum, wenn Ausfall über mehrere Tage:
09.11.2026 8:00-9:00 ca. 1 Std MINU | 
10.11.2026 8:00-9:00 ca. 1 Std MINU | 
11.11.2026 8:00-9:00 ca. 1 Std MINU | 
8. GU-BO Support: Nein
9. Telefónica BO Support: Nein
10. Field Force Support: Nein
11. BO Assigned Group falls AdPW und Techniker vor Ort: BAYFU-GU_00-Inbox / 
BAYFU-GU_00-Inbox
12. Sonstige Bemerkungen und/oder weitere Details:</v>
      </c>
      <c r="N13" s="32"/>
      <c r="O13" s="27"/>
      <c r="P13" s="33"/>
    </row>
    <row r="14" spans="1:16" ht="29.25" customHeight="1" x14ac:dyDescent="0.3">
      <c r="A14" s="27"/>
      <c r="B14" s="58" t="s">
        <v>83</v>
      </c>
      <c r="C14" s="63" t="s">
        <v>41</v>
      </c>
      <c r="D14" s="79"/>
      <c r="E14" s="80"/>
      <c r="F14" s="80"/>
      <c r="G14" s="80"/>
      <c r="H14" s="80"/>
      <c r="L14" s="27"/>
      <c r="M14" s="70"/>
      <c r="N14" s="32"/>
      <c r="O14" s="27"/>
      <c r="P14" s="33"/>
    </row>
    <row r="15" spans="1:16" ht="14.25" customHeight="1" x14ac:dyDescent="0.3">
      <c r="A15" s="27"/>
      <c r="B15" s="17" t="s">
        <v>13</v>
      </c>
      <c r="C15" s="23" t="s">
        <v>90</v>
      </c>
      <c r="D15" s="81"/>
      <c r="E15" s="82"/>
      <c r="F15" s="82"/>
      <c r="G15" s="82"/>
      <c r="H15" s="82"/>
      <c r="J15" s="14" t="str">
        <f>J20&amp;J21&amp;J22&amp;J23&amp;J24</f>
        <v xml:space="preserve">09.11.2026 8:00-9:00 ca. 1 Std MINU | 
10.11.2026 8:00-9:00 ca. 1 Std MINU | 
11.11.2026 8:00-9:00 ca. 1 Std MINU | 
</v>
      </c>
      <c r="L15" s="27"/>
      <c r="M15" s="70"/>
      <c r="N15" s="34"/>
      <c r="O15" s="27"/>
      <c r="P15" s="27"/>
    </row>
    <row r="16" spans="1:16" ht="31.5" customHeight="1" x14ac:dyDescent="0.3">
      <c r="A16" s="27"/>
      <c r="B16" s="15" t="s">
        <v>69</v>
      </c>
      <c r="C16" s="76"/>
      <c r="D16" s="76"/>
      <c r="E16" s="76"/>
      <c r="F16" s="76"/>
      <c r="G16" s="76"/>
      <c r="H16" s="76"/>
      <c r="L16" s="27"/>
      <c r="M16" s="70"/>
      <c r="N16" s="34"/>
      <c r="O16" s="27"/>
      <c r="P16" s="27"/>
    </row>
    <row r="17" spans="1:16" ht="17.25" customHeight="1" x14ac:dyDescent="0.3">
      <c r="A17" s="27"/>
      <c r="B17" s="27"/>
      <c r="C17" s="27"/>
      <c r="D17" s="27"/>
      <c r="E17" s="27"/>
      <c r="F17" s="27"/>
      <c r="G17" s="27"/>
      <c r="H17" s="27"/>
      <c r="L17" s="27"/>
      <c r="M17" s="70"/>
      <c r="N17" s="27"/>
      <c r="O17" s="27"/>
      <c r="P17" s="27"/>
    </row>
    <row r="18" spans="1:16" x14ac:dyDescent="0.3">
      <c r="A18" s="27"/>
      <c r="B18" s="35" t="s">
        <v>76</v>
      </c>
      <c r="C18" s="76" t="s">
        <v>108</v>
      </c>
      <c r="D18" s="76"/>
      <c r="E18" s="76"/>
      <c r="F18" s="76"/>
      <c r="G18" s="76"/>
      <c r="H18" s="76"/>
      <c r="I18" s="20" t="s">
        <v>24</v>
      </c>
      <c r="J18" s="20"/>
      <c r="K18" s="20" t="s">
        <v>24</v>
      </c>
      <c r="L18" s="31"/>
      <c r="M18" s="70"/>
      <c r="N18" s="27"/>
      <c r="O18" s="27"/>
      <c r="P18" s="27"/>
    </row>
    <row r="19" spans="1:16" ht="28" x14ac:dyDescent="0.3">
      <c r="A19" s="27"/>
      <c r="B19" s="35" t="s">
        <v>75</v>
      </c>
      <c r="C19" s="76"/>
      <c r="D19" s="76"/>
      <c r="E19" s="76"/>
      <c r="F19" s="76"/>
      <c r="G19" s="76"/>
      <c r="H19" s="76"/>
      <c r="I19" s="56"/>
      <c r="J19" s="56"/>
      <c r="K19" s="56"/>
      <c r="L19" s="31"/>
      <c r="M19" s="70"/>
      <c r="N19" s="27"/>
      <c r="O19" s="27"/>
      <c r="P19" s="27"/>
    </row>
    <row r="20" spans="1:16" ht="14.25" customHeight="1" x14ac:dyDescent="0.3">
      <c r="A20" s="36">
        <v>1</v>
      </c>
      <c r="B20" s="27"/>
      <c r="C20" s="27"/>
      <c r="D20" s="27"/>
      <c r="E20" s="27"/>
      <c r="F20" s="27"/>
      <c r="G20" s="27"/>
      <c r="H20" s="27"/>
      <c r="I20" s="18" t="str">
        <f>TEXT(D22,"TT.MM.JJJJ")&amp;" "&amp;TEXT(E22,"h:mm")&amp;"-"&amp;TEXT(F22,"h:mm")&amp;" ca. "&amp;ROUND(G22,1)&amp;" Std "&amp;C22&amp;" | "&amp;H22</f>
        <v xml:space="preserve">09.11.2026 8:00-9:00 ca. 1 Std MINU | </v>
      </c>
      <c r="J20" s="18" t="str">
        <f>IF(A20&lt;=$C$21,I20&amp;CHAR(10),"")</f>
        <v xml:space="preserve">09.11.2026 8:00-9:00 ca. 1 Std MINU | 
</v>
      </c>
      <c r="K20" s="18">
        <f>IF(H22="",,CHAR(10)&amp;H22)</f>
        <v>0</v>
      </c>
      <c r="L20" s="31"/>
      <c r="M20" s="70"/>
      <c r="N20" s="27"/>
      <c r="O20" s="27"/>
      <c r="P20" s="27"/>
    </row>
    <row r="21" spans="1:16" ht="31.5" customHeight="1" x14ac:dyDescent="0.3">
      <c r="A21" s="36">
        <v>2</v>
      </c>
      <c r="B21" s="19" t="s">
        <v>77</v>
      </c>
      <c r="C21" s="42">
        <v>3</v>
      </c>
      <c r="D21" s="39" t="s">
        <v>40</v>
      </c>
      <c r="E21" s="39" t="s">
        <v>53</v>
      </c>
      <c r="F21" s="39" t="s">
        <v>54</v>
      </c>
      <c r="G21" s="39" t="s">
        <v>52</v>
      </c>
      <c r="H21" s="39" t="s">
        <v>55</v>
      </c>
      <c r="I21" s="18" t="str">
        <f>TEXT(D23,"TT.MM.JJJJ")&amp;" "&amp;TEXT(E23,"h:mm")&amp;"-"&amp;TEXT(F23,"h:mm")&amp;" ca. "&amp;ROUND(G23,1)&amp;" Std "&amp;C23&amp;" | "&amp;H23</f>
        <v xml:space="preserve">10.11.2026 8:00-9:00 ca. 1 Std MINU | </v>
      </c>
      <c r="J21" s="18" t="str">
        <f>IF(A21&lt;=$C$21,I21&amp;CHAR(10),"")</f>
        <v xml:space="preserve">10.11.2026 8:00-9:00 ca. 1 Std MINU | 
</v>
      </c>
      <c r="K21" s="18">
        <f>IF(H23="",,CHAR(10)&amp;H23)</f>
        <v>0</v>
      </c>
      <c r="L21" s="31"/>
      <c r="M21" s="70"/>
      <c r="N21" s="27"/>
      <c r="O21" s="27"/>
      <c r="P21" s="31"/>
    </row>
    <row r="22" spans="1:16" ht="15" customHeight="1" x14ac:dyDescent="0.3">
      <c r="A22" s="36">
        <v>3</v>
      </c>
      <c r="B22" s="57" t="s">
        <v>43</v>
      </c>
      <c r="C22" s="23" t="s">
        <v>95</v>
      </c>
      <c r="D22" s="24">
        <v>46335</v>
      </c>
      <c r="E22" s="25">
        <v>0.33333333333333331</v>
      </c>
      <c r="F22" s="25">
        <v>0.375</v>
      </c>
      <c r="G22" s="26">
        <v>1</v>
      </c>
      <c r="H22" s="25"/>
      <c r="I22" s="18" t="str">
        <f>TEXT(D24,"TT.MM.JJJJ")&amp;" "&amp;TEXT(E24,"h:mm")&amp;"-"&amp;TEXT(F24,"h:mm")&amp;" ca. "&amp;ROUND(G24,1)&amp;" Std "&amp;C24&amp;" | "&amp;H24</f>
        <v xml:space="preserve">11.11.2026 8:00-9:00 ca. 1 Std MINU | </v>
      </c>
      <c r="J22" s="18" t="str">
        <f>IF(A22&lt;=$C$21,I22&amp;CHAR(10),"")</f>
        <v xml:space="preserve">11.11.2026 8:00-9:00 ca. 1 Std MINU | 
</v>
      </c>
      <c r="K22" s="18">
        <f>IF(H24="",,CHAR(10)&amp;H24)</f>
        <v>0</v>
      </c>
      <c r="L22" s="31"/>
      <c r="M22" s="70"/>
      <c r="N22" s="27"/>
      <c r="O22" s="27"/>
      <c r="P22" s="27"/>
    </row>
    <row r="23" spans="1:16" ht="15" customHeight="1" x14ac:dyDescent="0.3">
      <c r="A23" s="36">
        <v>4</v>
      </c>
      <c r="B23" s="21" t="s">
        <v>44</v>
      </c>
      <c r="C23" s="64" t="s">
        <v>95</v>
      </c>
      <c r="D23" s="65">
        <v>46336</v>
      </c>
      <c r="E23" s="66">
        <v>0.33333333333333331</v>
      </c>
      <c r="F23" s="25">
        <v>0.375</v>
      </c>
      <c r="G23" s="26">
        <v>1</v>
      </c>
      <c r="H23" s="25"/>
      <c r="I23" s="18" t="str">
        <f>TEXT(D25,"TT.MM.JJJJ")&amp;" "&amp;TEXT(E25,"h:mm")&amp;"-"&amp;TEXT(F25,"h:mm")&amp;" ca. "&amp;ROUND(G25,1)&amp;" Std "&amp;C25&amp;" | "&amp;H25</f>
        <v xml:space="preserve">04.05.2017 8:00-17:00 ca. 0 Std MINU | </v>
      </c>
      <c r="J23" s="18" t="str">
        <f>IF(A23&lt;=$C$21,I23&amp;CHAR(10),"")</f>
        <v/>
      </c>
      <c r="K23" s="18">
        <f>IF(H25="",,CHAR(10)&amp;H25)</f>
        <v>0</v>
      </c>
      <c r="L23" s="31"/>
      <c r="M23" s="70"/>
      <c r="N23" s="27"/>
      <c r="O23" s="27"/>
      <c r="P23" s="27"/>
    </row>
    <row r="24" spans="1:16" ht="15" customHeight="1" x14ac:dyDescent="0.3">
      <c r="A24" s="36">
        <v>5</v>
      </c>
      <c r="B24" s="21" t="s">
        <v>45</v>
      </c>
      <c r="C24" s="64" t="s">
        <v>95</v>
      </c>
      <c r="D24" s="65">
        <v>46337</v>
      </c>
      <c r="E24" s="66">
        <v>0.33333333333333331</v>
      </c>
      <c r="F24" s="25">
        <v>0.375</v>
      </c>
      <c r="G24" s="26">
        <v>1</v>
      </c>
      <c r="H24" s="25"/>
      <c r="I24" s="18" t="str">
        <f>TEXT(D26,"TT.MM.JJJJ")&amp;" "&amp;TEXT(E26,"h:mm")&amp;"-"&amp;TEXT(F26,"h:mm")&amp;" ca. "&amp;ROUND(G26,1)&amp;" Std "&amp;C26&amp;" | "&amp;H26</f>
        <v xml:space="preserve">05.05.2017 8:00-17:00 ca. 0 Std Inbetriebnahme | </v>
      </c>
      <c r="J24" s="18" t="str">
        <f>IF(A24&lt;=$C$21,I24&amp;CHAR(10),"")</f>
        <v/>
      </c>
      <c r="K24" s="18">
        <f>IF(H26="",,CHAR(10)&amp;H26)</f>
        <v>0</v>
      </c>
      <c r="L24" s="31"/>
      <c r="M24" s="70"/>
      <c r="N24" s="27"/>
      <c r="O24" s="27"/>
      <c r="P24" s="27"/>
    </row>
    <row r="25" spans="1:16" x14ac:dyDescent="0.3">
      <c r="A25" s="27"/>
      <c r="B25" s="21" t="s">
        <v>46</v>
      </c>
      <c r="C25" s="64" t="s">
        <v>95</v>
      </c>
      <c r="D25" s="65">
        <v>42859</v>
      </c>
      <c r="E25" s="66">
        <v>0.33333333333333331</v>
      </c>
      <c r="F25" s="66">
        <v>0.70833333333333337</v>
      </c>
      <c r="G25" s="26">
        <v>0</v>
      </c>
      <c r="H25" s="25"/>
      <c r="I25" s="18"/>
      <c r="J25" s="18"/>
      <c r="K25" s="18"/>
      <c r="L25" s="31"/>
      <c r="M25" s="70"/>
      <c r="N25" s="27"/>
      <c r="O25" s="27"/>
      <c r="P25" s="27"/>
    </row>
    <row r="26" spans="1:16" x14ac:dyDescent="0.3">
      <c r="A26" s="27"/>
      <c r="B26" s="21" t="s">
        <v>47</v>
      </c>
      <c r="C26" s="64" t="s">
        <v>23</v>
      </c>
      <c r="D26" s="65">
        <v>42860</v>
      </c>
      <c r="E26" s="66">
        <v>0.33333333333333331</v>
      </c>
      <c r="F26" s="66">
        <v>0.70833333333333337</v>
      </c>
      <c r="G26" s="26">
        <v>0</v>
      </c>
      <c r="H26" s="25"/>
      <c r="L26" s="27"/>
      <c r="M26" s="70"/>
      <c r="N26" s="27"/>
      <c r="O26" s="27"/>
      <c r="P26" s="27"/>
    </row>
    <row r="27" spans="1:16" ht="8.25" customHeight="1" x14ac:dyDescent="0.3">
      <c r="A27" s="27"/>
      <c r="B27" s="29"/>
      <c r="C27" s="30"/>
      <c r="D27" s="29"/>
      <c r="E27" s="30"/>
      <c r="F27" s="30"/>
      <c r="G27" s="30"/>
      <c r="H27" s="30"/>
      <c r="I27" s="14" t="str">
        <f>IF(C30="Nein",B30&amp;C30,
IF(C30="Ja",B30&amp;C30&amp;CHAR(10)&amp;B31&amp;" "&amp;C31))</f>
        <v>9. Telefónica BO Support: Nein</v>
      </c>
      <c r="L27" s="27"/>
      <c r="M27" s="70"/>
      <c r="N27" s="27"/>
      <c r="O27" s="27"/>
      <c r="P27" s="27"/>
    </row>
    <row r="28" spans="1:16" x14ac:dyDescent="0.3">
      <c r="A28" s="27"/>
      <c r="B28" s="17" t="s">
        <v>48</v>
      </c>
      <c r="C28" s="23" t="s">
        <v>15</v>
      </c>
      <c r="D28" s="30"/>
      <c r="E28" s="30"/>
      <c r="F28" s="30"/>
      <c r="G28" s="30"/>
      <c r="H28" s="30"/>
      <c r="I28" s="14" t="str">
        <f>IF(C33="Nein",B33&amp;C33,
IF(C33="Ja",B33&amp;C33&amp;CHAR(10)&amp;B34&amp;" "&amp;C34))</f>
        <v>10. Field Force Support: Nein</v>
      </c>
      <c r="L28" s="27"/>
      <c r="M28" s="70"/>
      <c r="N28" s="27"/>
      <c r="O28" s="27"/>
      <c r="P28" s="27"/>
    </row>
    <row r="29" spans="1:16" ht="16.5" customHeight="1" x14ac:dyDescent="0.3">
      <c r="A29" s="27"/>
      <c r="B29" s="22" t="s">
        <v>60</v>
      </c>
      <c r="C29" s="75" t="s">
        <v>65</v>
      </c>
      <c r="D29" s="73"/>
      <c r="E29" s="73"/>
      <c r="F29" s="74"/>
      <c r="G29" s="27"/>
      <c r="H29" s="27"/>
      <c r="I29" s="14" t="str">
        <f>IF(C28="Nein",B28&amp;C28,
IF(C28="Ja",B28&amp;C28&amp;CHAR(10)&amp;B29&amp;" "&amp;C29&amp;" / "&amp;VLOOKUP(C29,Database!AC:AD,2,0)))</f>
        <v>8. GU-BO Support: Nein</v>
      </c>
      <c r="L29" s="27"/>
      <c r="M29" s="70"/>
      <c r="N29" s="27"/>
      <c r="O29" s="27"/>
      <c r="P29" s="27"/>
    </row>
    <row r="30" spans="1:16" x14ac:dyDescent="0.3">
      <c r="A30" s="27"/>
      <c r="B30" s="17" t="s">
        <v>51</v>
      </c>
      <c r="C30" s="40" t="s">
        <v>15</v>
      </c>
      <c r="D30" s="36" t="s">
        <v>56</v>
      </c>
      <c r="E30" s="27"/>
      <c r="F30" s="27"/>
      <c r="G30" s="27"/>
      <c r="H30" s="27"/>
      <c r="L30" s="27"/>
      <c r="M30" s="70"/>
      <c r="N30" s="27"/>
      <c r="O30" s="27"/>
      <c r="P30" s="27"/>
    </row>
    <row r="31" spans="1:16" x14ac:dyDescent="0.3">
      <c r="A31" s="27"/>
      <c r="B31" s="22" t="s">
        <v>49</v>
      </c>
      <c r="C31" s="71"/>
      <c r="D31" s="71"/>
      <c r="E31" s="71"/>
      <c r="F31" s="71"/>
      <c r="G31" s="71"/>
      <c r="H31" s="71"/>
      <c r="I31" s="27"/>
      <c r="J31" s="27"/>
      <c r="K31" s="27"/>
      <c r="L31" s="27"/>
      <c r="M31" s="70"/>
      <c r="N31" s="27"/>
      <c r="O31" s="27"/>
      <c r="P31" s="27"/>
    </row>
    <row r="32" spans="1:16" x14ac:dyDescent="0.3">
      <c r="A32" s="27"/>
      <c r="B32" s="29"/>
      <c r="C32" s="30"/>
      <c r="D32" s="27"/>
      <c r="E32" s="27"/>
      <c r="F32" s="27"/>
      <c r="G32" s="27"/>
      <c r="H32" s="27"/>
      <c r="I32" s="27"/>
      <c r="J32" s="27"/>
      <c r="K32" s="27"/>
      <c r="L32" s="27"/>
      <c r="M32" s="70"/>
      <c r="N32" s="27"/>
      <c r="O32" s="27"/>
      <c r="P32" s="27"/>
    </row>
    <row r="33" spans="1:16" x14ac:dyDescent="0.3">
      <c r="A33" s="27"/>
      <c r="B33" s="17" t="s">
        <v>42</v>
      </c>
      <c r="C33" s="41" t="s">
        <v>15</v>
      </c>
      <c r="D33" s="36" t="s">
        <v>57</v>
      </c>
      <c r="E33" s="27"/>
      <c r="F33" s="27"/>
      <c r="G33" s="27"/>
      <c r="H33" s="27"/>
      <c r="I33" s="27"/>
      <c r="J33" s="27"/>
      <c r="K33" s="27"/>
      <c r="L33" s="27"/>
      <c r="M33" s="70"/>
      <c r="N33" s="27"/>
      <c r="O33" s="27"/>
      <c r="P33" s="27"/>
    </row>
    <row r="34" spans="1:16" x14ac:dyDescent="0.3">
      <c r="A34" s="27"/>
      <c r="B34" s="22" t="s">
        <v>50</v>
      </c>
      <c r="C34" s="71"/>
      <c r="D34" s="71"/>
      <c r="E34" s="71"/>
      <c r="F34" s="71"/>
      <c r="G34" s="71"/>
      <c r="H34" s="71"/>
      <c r="I34" s="27"/>
      <c r="J34" s="27"/>
      <c r="K34" s="27"/>
      <c r="L34" s="27"/>
      <c r="M34" s="70"/>
      <c r="N34" s="27"/>
      <c r="O34" s="27"/>
      <c r="P34" s="27"/>
    </row>
    <row r="35" spans="1:16" x14ac:dyDescent="0.3">
      <c r="A35" s="27"/>
      <c r="B35" s="29"/>
      <c r="C35" s="30"/>
      <c r="D35" s="27"/>
      <c r="E35" s="27"/>
      <c r="F35" s="27"/>
      <c r="G35" s="27"/>
      <c r="H35" s="27"/>
      <c r="I35" s="27"/>
      <c r="J35" s="27"/>
      <c r="K35" s="27"/>
      <c r="L35" s="27"/>
      <c r="M35" s="70"/>
      <c r="N35" s="27"/>
      <c r="O35" s="27"/>
      <c r="P35" s="27"/>
    </row>
    <row r="36" spans="1:16" ht="28" x14ac:dyDescent="0.3">
      <c r="A36" s="27"/>
      <c r="B36" s="43" t="s">
        <v>67</v>
      </c>
      <c r="C36" s="23" t="s">
        <v>100</v>
      </c>
      <c r="D36" s="27"/>
      <c r="E36" s="27"/>
      <c r="F36" s="27"/>
      <c r="G36" s="27"/>
      <c r="H36" s="27"/>
      <c r="I36" s="27"/>
      <c r="J36" s="27"/>
      <c r="K36" s="27"/>
      <c r="L36" s="27"/>
      <c r="M36" s="55"/>
      <c r="N36" s="27"/>
      <c r="O36" s="27"/>
      <c r="P36" s="27"/>
    </row>
    <row r="37" spans="1:16" x14ac:dyDescent="0.3">
      <c r="A37" s="27"/>
      <c r="B37" s="29"/>
      <c r="C37" s="30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spans="1:16" ht="28" x14ac:dyDescent="0.3">
      <c r="A38" s="27"/>
      <c r="B38" s="49" t="s">
        <v>70</v>
      </c>
      <c r="C38" s="72"/>
      <c r="D38" s="73"/>
      <c r="E38" s="73"/>
      <c r="F38" s="73"/>
      <c r="G38" s="73"/>
      <c r="H38" s="74"/>
      <c r="I38" s="27"/>
      <c r="J38" s="27"/>
      <c r="K38" s="27"/>
      <c r="L38" s="27"/>
      <c r="M38" s="27"/>
      <c r="N38" s="27"/>
      <c r="O38" s="27"/>
      <c r="P38" s="27"/>
    </row>
    <row r="39" spans="1:16" x14ac:dyDescent="0.3">
      <c r="A39" s="27"/>
      <c r="B39" s="27"/>
      <c r="C39" s="27"/>
      <c r="D39" s="27"/>
      <c r="E39" s="27"/>
      <c r="F39" s="28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1:16" ht="38.25" customHeight="1" thickBot="1" x14ac:dyDescent="0.3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6" ht="394.5" customHeight="1" thickTop="1" thickBot="1" x14ac:dyDescent="0.35">
      <c r="A41" s="27"/>
      <c r="B41" s="54"/>
      <c r="C41" s="67" t="str">
        <f>M7</f>
        <v>GU/BO Info - Work Info Template v1.51
0. Ticketersteller E-Mail: max.mustermann@muster-bau.example
1. TEF Autragnehmer: Vodafone / Vantage
2. Anforderer: Muster Bau GmbH
2.1 Anlagenverantwortung:Nein
3. Baukoordinator: Mustermann Max / +49 171 1234567
4. Techniker vor Ort / Elektrofachkraft: Musterfrau Erika / +49 160 7654321
4.2 VEFK, Ansprechpartner GU / SUB:Mustermann Max / +49 171 1234567
5. Tätigkeit: ASI Abschaltung / Bitte Beschreiben den Bedarf von der Abschaltung Radio Tef-Antennen 
5.1 Tätigkeit Details: 
6. Betroffener Standort:120990497
6.1 Betroffene Services (NE’s/RiFus) numerisch: 
7. Zeitraum, wenn Ausfall über mehrere Tage:
09.11.2026 8:00-9:00 ca. 1 Std MINU | 
10.11.2026 8:00-9:00 ca. 1 Std MINU | 
11.11.2026 8:00-9:00 ca. 1 Std MINU | 
8. GU-BO Support: Nein
9. Telefónica BO Support: Nein
10. Field Force Support: Nein
11. BO Assigned Group falls AdPW und Techniker vor Ort: BAYFU-GU_00-Inbox / 
BAYFU-GU_00-Inbox
12. Sonstige Bemerkungen und/oder weitere Details:</v>
      </c>
      <c r="D41" s="68"/>
      <c r="E41" s="68"/>
      <c r="F41" s="68"/>
      <c r="G41" s="68"/>
      <c r="H41" s="69"/>
      <c r="I41" s="27"/>
      <c r="J41" s="27"/>
      <c r="K41" s="27"/>
      <c r="L41" s="27"/>
      <c r="M41" s="27"/>
      <c r="N41" s="27"/>
      <c r="O41" s="27"/>
      <c r="P41" s="27"/>
    </row>
    <row r="42" spans="1:16" ht="14.5" thickTop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1:16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spans="1:16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16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1:16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spans="1:16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16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spans="1:16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spans="1:16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16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spans="1:16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spans="1:16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1:16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1:16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</row>
    <row r="57" spans="1:16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</row>
    <row r="58" spans="1:16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 spans="1:16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</row>
    <row r="60" spans="1:16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</row>
  </sheetData>
  <mergeCells count="12">
    <mergeCell ref="C6:F6"/>
    <mergeCell ref="B2:M2"/>
    <mergeCell ref="C18:H18"/>
    <mergeCell ref="C31:H31"/>
    <mergeCell ref="C19:H19"/>
    <mergeCell ref="C41:H41"/>
    <mergeCell ref="M13:M35"/>
    <mergeCell ref="C34:H34"/>
    <mergeCell ref="C38:H38"/>
    <mergeCell ref="C29:F29"/>
    <mergeCell ref="C16:H16"/>
    <mergeCell ref="D13:H15"/>
  </mergeCells>
  <conditionalFormatting sqref="B22:E24 H22:H24 B25:H26">
    <cfRule type="expression" dxfId="4" priority="7" stopIfTrue="1">
      <formula>$A20&gt;$C$21</formula>
    </cfRule>
  </conditionalFormatting>
  <conditionalFormatting sqref="D21">
    <cfRule type="containsText" dxfId="3" priority="13" stopIfTrue="1" operator="containsText" text="Pflichtfeld">
      <formula>NOT(ISERROR(SEARCH("Pflichtfeld",D21)))</formula>
    </cfRule>
  </conditionalFormatting>
  <conditionalFormatting sqref="D30">
    <cfRule type="expression" dxfId="2" priority="10" stopIfTrue="1">
      <formula>AND($C$30="Ja",$C$31="")</formula>
    </cfRule>
  </conditionalFormatting>
  <conditionalFormatting sqref="D33">
    <cfRule type="expression" dxfId="1" priority="9" stopIfTrue="1">
      <formula>AND($C$33="Ja",$C$34="")</formula>
    </cfRule>
  </conditionalFormatting>
  <conditionalFormatting sqref="F22:G24">
    <cfRule type="expression" dxfId="0" priority="1" stopIfTrue="1">
      <formula>$A20&gt;$C$18</formula>
    </cfRule>
  </conditionalFormatting>
  <dataValidations count="12">
    <dataValidation type="list" allowBlank="1" showInputMessage="1" showErrorMessage="1" sqref="C7" xr:uid="{E034274C-B55B-4A23-9E12-CB2DA7FDAB9E}">
      <formula1>GU7a</formula1>
    </dataValidation>
    <dataValidation type="list" allowBlank="1" showInputMessage="1" showErrorMessage="1" sqref="C10 C8" xr:uid="{00000000-0002-0000-0000-000001000000}">
      <formula1>Anforderer</formula1>
    </dataValidation>
    <dataValidation type="list" allowBlank="1" showInputMessage="1" showErrorMessage="1" sqref="C11" xr:uid="{00000000-0002-0000-0000-000002000000}">
      <formula1>Baukoordinator</formula1>
    </dataValidation>
    <dataValidation type="list" allowBlank="1" showInputMessage="1" showErrorMessage="1" sqref="C12:C13" xr:uid="{00000000-0002-0000-0000-000003000000}">
      <formula1>Techniker</formula1>
    </dataValidation>
    <dataValidation type="list" allowBlank="1" showInputMessage="1" showErrorMessage="1" sqref="C17" xr:uid="{00000000-0002-0000-0000-000004000000}">
      <formula1>Tätigkeit</formula1>
    </dataValidation>
    <dataValidation type="list" allowBlank="1" showInputMessage="1" showErrorMessage="1" sqref="C33 C28 C30" xr:uid="{00000000-0002-0000-0000-000005000000}">
      <formula1>Frage</formula1>
    </dataValidation>
    <dataValidation type="list" allowBlank="1" showInputMessage="1" showErrorMessage="1" sqref="C27" xr:uid="{00000000-0002-0000-0000-000006000000}">
      <formula1>Tätigkeit2</formula1>
    </dataValidation>
    <dataValidation type="list" allowBlank="1" showInputMessage="1" showErrorMessage="1" sqref="C21" xr:uid="{00000000-0002-0000-0000-000007000000}">
      <formula1>Tage5</formula1>
    </dataValidation>
    <dataValidation type="list" allowBlank="1" showInputMessage="1" showErrorMessage="1" sqref="C36" xr:uid="{00000000-0002-0000-0000-000008000000}">
      <formula1>ticket1</formula1>
    </dataValidation>
    <dataValidation type="list" allowBlank="1" showInputMessage="1" showErrorMessage="1" sqref="C29:F29" xr:uid="{00000000-0002-0000-0000-000009000000}">
      <formula1>BOGUAP</formula1>
    </dataValidation>
    <dataValidation type="list" allowBlank="1" showInputMessage="1" showErrorMessage="1" sqref="C15" xr:uid="{00000000-0002-0000-0000-00000A000000}">
      <formula1>Tatigkeitfinal</formula1>
    </dataValidation>
    <dataValidation type="list" allowBlank="1" showInputMessage="1" showErrorMessage="1" sqref="C22:C26" xr:uid="{00000000-0002-0000-0000-00000B000000}">
      <formula1>tsazeit</formula1>
    </dataValidation>
  </dataValidations>
  <pageMargins left="0.7" right="0.7" top="0.78740157499999996" bottom="0.78740157499999996" header="0.3" footer="0.3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  <cellWatches>
    <cellWatch r="M7"/>
  </cellWatche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D000000}">
          <x14:formula1>
            <xm:f>Database!$Q$5:$Q$23</xm:f>
          </x14:formula1>
          <xm:sqref>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9"/>
  <sheetViews>
    <sheetView topLeftCell="T1" zoomScale="80" zoomScaleNormal="80" workbookViewId="0">
      <selection activeCell="AG5" sqref="AG5"/>
    </sheetView>
  </sheetViews>
  <sheetFormatPr baseColWidth="10" defaultRowHeight="14.5" x14ac:dyDescent="0.35"/>
  <cols>
    <col min="1" max="1" width="20.453125" customWidth="1"/>
    <col min="2" max="3" width="17" customWidth="1"/>
    <col min="4" max="4" width="14.81640625" customWidth="1"/>
    <col min="5" max="5" width="13.6328125" customWidth="1"/>
    <col min="6" max="6" width="3.36328125" customWidth="1"/>
    <col min="7" max="7" width="9.453125" customWidth="1"/>
    <col min="8" max="8" width="9.1796875" customWidth="1"/>
    <col min="9" max="9" width="15.81640625" customWidth="1"/>
    <col min="10" max="10" width="12" customWidth="1"/>
    <col min="11" max="18" width="19" customWidth="1"/>
    <col min="19" max="19" width="3.453125" customWidth="1"/>
    <col min="20" max="20" width="23.6328125" customWidth="1"/>
    <col min="21" max="21" width="109.1796875" customWidth="1"/>
    <col min="22" max="22" width="17.1796875" customWidth="1"/>
    <col min="23" max="23" width="3.36328125" customWidth="1"/>
    <col min="24" max="24" width="23" customWidth="1"/>
    <col min="25" max="25" width="3.36328125" customWidth="1"/>
    <col min="26" max="26" width="14" customWidth="1"/>
    <col min="27" max="27" width="57.36328125" customWidth="1"/>
    <col min="28" max="28" width="6.81640625" customWidth="1"/>
    <col min="29" max="29" width="18" customWidth="1"/>
    <col min="30" max="30" width="17" customWidth="1"/>
    <col min="31" max="31" width="6.453125" customWidth="1"/>
    <col min="32" max="32" width="20" customWidth="1"/>
    <col min="33" max="33" width="68.36328125" customWidth="1"/>
    <col min="35" max="35" width="23.36328125" customWidth="1"/>
  </cols>
  <sheetData>
    <row r="1" spans="1:33" ht="23.5" x14ac:dyDescent="0.55000000000000004">
      <c r="A1" s="87" t="s">
        <v>71</v>
      </c>
      <c r="B1" s="87"/>
      <c r="C1" s="87"/>
      <c r="D1" s="87"/>
      <c r="E1" s="87"/>
      <c r="G1" s="88" t="s">
        <v>74</v>
      </c>
      <c r="H1" s="88"/>
      <c r="I1" s="88"/>
    </row>
    <row r="3" spans="1:33" x14ac:dyDescent="0.35">
      <c r="A3" s="2" t="s">
        <v>9</v>
      </c>
      <c r="B3" s="4"/>
      <c r="C3" s="4"/>
      <c r="D3" s="4"/>
      <c r="E3" s="4"/>
      <c r="G3" s="5" t="s">
        <v>12</v>
      </c>
      <c r="H3" s="6"/>
      <c r="I3" s="6"/>
      <c r="J3" s="6"/>
      <c r="K3" s="12" t="s">
        <v>80</v>
      </c>
      <c r="L3" s="11"/>
      <c r="M3" s="11"/>
      <c r="N3" s="11"/>
      <c r="O3" s="62" t="s">
        <v>79</v>
      </c>
      <c r="P3" s="61"/>
      <c r="Q3" s="61"/>
      <c r="R3" s="61"/>
      <c r="T3" s="7" t="s">
        <v>29</v>
      </c>
      <c r="U3" s="7"/>
      <c r="V3" s="8"/>
      <c r="X3" s="7" t="s">
        <v>32</v>
      </c>
      <c r="Z3" s="13" t="s">
        <v>31</v>
      </c>
      <c r="AA3" s="13"/>
      <c r="AC3" s="44" t="s">
        <v>61</v>
      </c>
      <c r="AD3" s="44"/>
      <c r="AF3" s="47" t="s">
        <v>59</v>
      </c>
      <c r="AG3" s="47"/>
    </row>
    <row r="4" spans="1:33" x14ac:dyDescent="0.35">
      <c r="A4" s="2" t="s">
        <v>25</v>
      </c>
      <c r="B4" s="2" t="s">
        <v>26</v>
      </c>
      <c r="C4" s="2" t="s">
        <v>78</v>
      </c>
      <c r="D4" s="2" t="s">
        <v>10</v>
      </c>
      <c r="E4" s="2" t="s">
        <v>2</v>
      </c>
      <c r="G4" s="5" t="s">
        <v>1</v>
      </c>
      <c r="H4" s="5" t="s">
        <v>0</v>
      </c>
      <c r="I4" s="5" t="s">
        <v>4</v>
      </c>
      <c r="J4" s="5" t="s">
        <v>2</v>
      </c>
      <c r="K4" s="5" t="s">
        <v>1</v>
      </c>
      <c r="L4" s="5" t="s">
        <v>0</v>
      </c>
      <c r="M4" s="5" t="s">
        <v>4</v>
      </c>
      <c r="N4" s="59" t="s">
        <v>2</v>
      </c>
      <c r="O4" s="5" t="s">
        <v>1</v>
      </c>
      <c r="P4" s="5" t="s">
        <v>0</v>
      </c>
      <c r="Q4" s="5" t="s">
        <v>4</v>
      </c>
      <c r="R4" s="59" t="s">
        <v>2</v>
      </c>
      <c r="T4" s="7" t="s">
        <v>28</v>
      </c>
      <c r="U4" s="7" t="s">
        <v>68</v>
      </c>
      <c r="V4" s="7" t="s">
        <v>27</v>
      </c>
      <c r="X4" s="7" t="s">
        <v>16</v>
      </c>
      <c r="Z4" s="13" t="s">
        <v>6</v>
      </c>
      <c r="AA4" s="13" t="s">
        <v>7</v>
      </c>
      <c r="AC4" s="44" t="s">
        <v>0</v>
      </c>
      <c r="AD4" s="44" t="s">
        <v>2</v>
      </c>
      <c r="AF4" s="48" t="s">
        <v>62</v>
      </c>
      <c r="AG4" s="48" t="s">
        <v>63</v>
      </c>
    </row>
    <row r="5" spans="1:33" x14ac:dyDescent="0.35">
      <c r="A5" s="1" t="s">
        <v>86</v>
      </c>
      <c r="B5" s="1" t="s">
        <v>101</v>
      </c>
      <c r="C5" s="1" t="s">
        <v>14</v>
      </c>
      <c r="D5" s="1"/>
      <c r="E5" s="1"/>
      <c r="G5" s="1" t="s">
        <v>5</v>
      </c>
      <c r="H5" s="1" t="s">
        <v>3</v>
      </c>
      <c r="I5" s="1" t="str">
        <f>H5&amp;" "&amp;G5</f>
        <v>Bauleiter Simon</v>
      </c>
      <c r="J5" s="37" t="s">
        <v>58</v>
      </c>
      <c r="K5" s="1" t="s">
        <v>18</v>
      </c>
      <c r="L5" s="1" t="s">
        <v>17</v>
      </c>
      <c r="M5" s="1" t="str">
        <f>L5&amp;" "&amp;K5</f>
        <v>Techniker Manuel</v>
      </c>
      <c r="N5" s="60" t="s">
        <v>58</v>
      </c>
      <c r="O5" s="1" t="s">
        <v>5</v>
      </c>
      <c r="P5" s="1" t="s">
        <v>3</v>
      </c>
      <c r="Q5" s="1" t="str">
        <f>P5&amp;" "&amp;O5</f>
        <v>Bauleiter Simon</v>
      </c>
      <c r="R5" s="60" t="s">
        <v>58</v>
      </c>
      <c r="T5" s="9" t="s">
        <v>90</v>
      </c>
      <c r="U5" s="1" t="s">
        <v>91</v>
      </c>
      <c r="V5" s="1" t="s">
        <v>95</v>
      </c>
      <c r="X5" s="1" t="s">
        <v>14</v>
      </c>
      <c r="Z5" s="3" t="s">
        <v>19</v>
      </c>
      <c r="AA5" s="3" t="s">
        <v>20</v>
      </c>
      <c r="AC5" s="1" t="s">
        <v>66</v>
      </c>
      <c r="AD5" s="1"/>
      <c r="AF5" s="1" t="s">
        <v>100</v>
      </c>
      <c r="AG5" s="1" t="s">
        <v>100</v>
      </c>
    </row>
    <row r="6" spans="1:33" x14ac:dyDescent="0.35">
      <c r="A6" s="1" t="s">
        <v>87</v>
      </c>
      <c r="B6" s="1"/>
      <c r="C6" s="1" t="s">
        <v>15</v>
      </c>
      <c r="D6" s="1"/>
      <c r="E6" s="1"/>
      <c r="G6" s="1" t="s">
        <v>36</v>
      </c>
      <c r="H6" s="1" t="s">
        <v>37</v>
      </c>
      <c r="I6" s="1" t="str">
        <f>H6&amp;" "&amp;G6</f>
        <v>Mustermann Max</v>
      </c>
      <c r="J6" s="37" t="s">
        <v>112</v>
      </c>
      <c r="K6" s="1" t="s">
        <v>36</v>
      </c>
      <c r="L6" s="1" t="s">
        <v>37</v>
      </c>
      <c r="M6" s="1" t="str">
        <f>L6&amp;" "&amp;K6</f>
        <v>Mustermann Max</v>
      </c>
      <c r="N6" s="60" t="s">
        <v>112</v>
      </c>
      <c r="O6" s="1" t="s">
        <v>36</v>
      </c>
      <c r="P6" s="1" t="s">
        <v>37</v>
      </c>
      <c r="Q6" s="1" t="str">
        <f>P6&amp;" "&amp;O6</f>
        <v>Mustermann Max</v>
      </c>
      <c r="R6" s="60" t="s">
        <v>112</v>
      </c>
      <c r="T6" s="9" t="s">
        <v>92</v>
      </c>
      <c r="U6" s="1" t="s">
        <v>93</v>
      </c>
      <c r="V6" s="1"/>
      <c r="X6" s="1" t="s">
        <v>15</v>
      </c>
      <c r="Z6" t="s">
        <v>21</v>
      </c>
      <c r="AA6" t="s">
        <v>22</v>
      </c>
      <c r="AC6" s="1" t="s">
        <v>64</v>
      </c>
      <c r="AD6" s="1">
        <v>55555</v>
      </c>
      <c r="AF6" s="1"/>
      <c r="AG6" s="1"/>
    </row>
    <row r="7" spans="1:33" s="3" customFormat="1" x14ac:dyDescent="0.35">
      <c r="A7" s="1" t="s">
        <v>88</v>
      </c>
      <c r="B7" s="1"/>
      <c r="C7" s="1"/>
      <c r="D7" s="1"/>
      <c r="E7" s="1"/>
      <c r="F7"/>
      <c r="G7" s="1" t="s">
        <v>38</v>
      </c>
      <c r="H7" s="1" t="s">
        <v>39</v>
      </c>
      <c r="I7" s="1" t="str">
        <f>H7&amp;" "&amp;G7</f>
        <v>Müller Maxin</v>
      </c>
      <c r="J7" s="37" t="s">
        <v>58</v>
      </c>
      <c r="K7" s="1" t="s">
        <v>38</v>
      </c>
      <c r="L7" s="1" t="s">
        <v>39</v>
      </c>
      <c r="M7" s="1" t="str">
        <f>L7&amp;" "&amp;K7</f>
        <v>Müller Maxin</v>
      </c>
      <c r="N7" s="60" t="s">
        <v>58</v>
      </c>
      <c r="O7" s="1" t="s">
        <v>38</v>
      </c>
      <c r="P7" s="1" t="s">
        <v>39</v>
      </c>
      <c r="Q7" s="1" t="str">
        <f>P7&amp;" "&amp;O7</f>
        <v>Müller Maxin</v>
      </c>
      <c r="R7" s="60" t="s">
        <v>58</v>
      </c>
      <c r="S7"/>
      <c r="T7" s="9" t="s">
        <v>94</v>
      </c>
      <c r="U7" s="1" t="s">
        <v>93</v>
      </c>
      <c r="V7" s="1"/>
      <c r="X7" s="1"/>
      <c r="Z7" s="3" t="s">
        <v>34</v>
      </c>
      <c r="AA7" t="s">
        <v>35</v>
      </c>
      <c r="AC7" s="1" t="s">
        <v>65</v>
      </c>
      <c r="AD7" s="1">
        <v>55555</v>
      </c>
      <c r="AE7"/>
      <c r="AF7" s="1"/>
      <c r="AG7" s="1"/>
    </row>
    <row r="8" spans="1:33" x14ac:dyDescent="0.35">
      <c r="A8" s="1" t="s">
        <v>89</v>
      </c>
      <c r="B8" s="1"/>
      <c r="C8" s="1"/>
      <c r="D8" s="1"/>
      <c r="E8" s="1"/>
      <c r="G8" s="1" t="s">
        <v>102</v>
      </c>
      <c r="H8" s="1" t="s">
        <v>37</v>
      </c>
      <c r="I8" s="1" t="s">
        <v>103</v>
      </c>
      <c r="J8" s="37" t="s">
        <v>58</v>
      </c>
      <c r="K8" s="1" t="s">
        <v>109</v>
      </c>
      <c r="L8" s="1" t="s">
        <v>110</v>
      </c>
      <c r="M8" s="1" t="str">
        <f>L8&amp;" "&amp;K8</f>
        <v>Musterfrau Erika</v>
      </c>
      <c r="N8" s="60" t="s">
        <v>111</v>
      </c>
      <c r="O8" s="1"/>
      <c r="P8" s="1"/>
      <c r="Q8" s="1"/>
      <c r="R8" s="1"/>
      <c r="T8" s="9" t="s">
        <v>96</v>
      </c>
      <c r="U8" s="1" t="s">
        <v>97</v>
      </c>
      <c r="V8" s="1"/>
      <c r="X8" s="1"/>
      <c r="Z8" t="s">
        <v>33</v>
      </c>
      <c r="AA8" t="s">
        <v>33</v>
      </c>
      <c r="AC8" s="1"/>
      <c r="AD8" s="1"/>
      <c r="AF8" s="1"/>
      <c r="AG8" s="1"/>
    </row>
    <row r="9" spans="1:33" x14ac:dyDescent="0.35">
      <c r="A9" s="1" t="s">
        <v>104</v>
      </c>
      <c r="B9" s="1"/>
      <c r="C9" s="1"/>
      <c r="D9" s="1"/>
      <c r="E9" s="1"/>
      <c r="G9" s="1"/>
      <c r="H9" s="1"/>
      <c r="I9" s="1"/>
      <c r="J9" s="38"/>
      <c r="K9" s="1"/>
      <c r="L9" s="1"/>
      <c r="M9" s="1"/>
      <c r="N9" s="60"/>
      <c r="O9" s="1"/>
      <c r="P9" s="1"/>
      <c r="Q9" s="1"/>
      <c r="R9" s="1"/>
      <c r="T9" s="9"/>
      <c r="U9" s="1"/>
      <c r="V9" s="1"/>
      <c r="X9" s="7" t="s">
        <v>30</v>
      </c>
      <c r="AC9" s="1"/>
      <c r="AD9" s="1"/>
      <c r="AF9" s="1"/>
      <c r="AG9" s="1"/>
    </row>
    <row r="10" spans="1:33" x14ac:dyDescent="0.35">
      <c r="A10" s="1" t="s">
        <v>98</v>
      </c>
      <c r="B10" s="1"/>
      <c r="C10" s="1"/>
      <c r="D10" s="1"/>
      <c r="E10" s="1"/>
      <c r="G10" s="1"/>
      <c r="H10" s="1"/>
      <c r="I10" s="1"/>
      <c r="J10" s="37"/>
      <c r="K10" s="1"/>
      <c r="L10" s="1"/>
      <c r="M10" s="1"/>
      <c r="N10" s="60"/>
      <c r="O10" s="1"/>
      <c r="P10" s="1"/>
      <c r="Q10" s="1"/>
      <c r="R10" s="1"/>
      <c r="T10" s="9"/>
      <c r="U10" s="1"/>
      <c r="V10" s="1"/>
      <c r="X10" s="1">
        <v>0</v>
      </c>
      <c r="AC10" s="1"/>
      <c r="AD10" s="1"/>
      <c r="AF10" s="1"/>
      <c r="AG10" s="1"/>
    </row>
    <row r="11" spans="1:33" x14ac:dyDescent="0.35">
      <c r="A11" s="1" t="s">
        <v>99</v>
      </c>
      <c r="B11" s="1"/>
      <c r="C11" s="1"/>
      <c r="D11" s="1"/>
      <c r="E11" s="1"/>
      <c r="G11" s="1"/>
      <c r="H11" s="1"/>
      <c r="I11" s="1"/>
      <c r="J11" s="37"/>
      <c r="K11" s="1"/>
      <c r="L11" s="1"/>
      <c r="M11" s="1"/>
      <c r="N11" s="60"/>
      <c r="O11" s="1"/>
      <c r="P11" s="1"/>
      <c r="Q11" s="1"/>
      <c r="R11" s="1"/>
      <c r="T11" s="9"/>
      <c r="U11" s="1"/>
      <c r="V11" s="1"/>
      <c r="X11" s="1">
        <v>1</v>
      </c>
      <c r="AC11" s="1"/>
      <c r="AD11" s="1"/>
      <c r="AF11" s="1"/>
      <c r="AG11" s="1"/>
    </row>
    <row r="12" spans="1:33" x14ac:dyDescent="0.35">
      <c r="A12" s="1"/>
      <c r="B12" s="1"/>
      <c r="C12" s="1"/>
      <c r="D12" s="1"/>
      <c r="E12" s="1"/>
      <c r="G12" s="1"/>
      <c r="H12" s="1"/>
      <c r="I12" s="1"/>
      <c r="J12" s="37"/>
      <c r="K12" s="1"/>
      <c r="L12" s="1"/>
      <c r="M12" s="1"/>
      <c r="N12" s="60"/>
      <c r="O12" s="1"/>
      <c r="P12" s="1"/>
      <c r="Q12" s="1"/>
      <c r="R12" s="1"/>
      <c r="T12" s="9"/>
      <c r="U12" s="1"/>
      <c r="V12" s="1"/>
      <c r="X12" s="1">
        <v>2</v>
      </c>
      <c r="AC12" s="1"/>
      <c r="AD12" s="1"/>
      <c r="AF12" s="1"/>
      <c r="AG12" s="1"/>
    </row>
    <row r="13" spans="1:33" x14ac:dyDescent="0.35">
      <c r="A13" s="1"/>
      <c r="B13" s="1"/>
      <c r="C13" s="1"/>
      <c r="D13" s="1"/>
      <c r="E13" s="1"/>
      <c r="G13" s="1"/>
      <c r="H13" s="1"/>
      <c r="I13" s="1"/>
      <c r="J13" s="37"/>
      <c r="K13" s="1"/>
      <c r="L13" s="1"/>
      <c r="M13" s="1"/>
      <c r="N13" s="60"/>
      <c r="O13" s="1"/>
      <c r="P13" s="1"/>
      <c r="Q13" s="1"/>
      <c r="R13" s="1"/>
      <c r="T13" s="9"/>
      <c r="U13" s="1"/>
      <c r="V13" s="1"/>
      <c r="X13" s="1">
        <v>3</v>
      </c>
      <c r="AC13" s="1"/>
      <c r="AD13" s="1"/>
      <c r="AF13" s="1"/>
      <c r="AG13" s="1"/>
    </row>
    <row r="14" spans="1:33" x14ac:dyDescent="0.35">
      <c r="A14" s="1"/>
      <c r="B14" s="1"/>
      <c r="C14" s="1"/>
      <c r="D14" s="1"/>
      <c r="E14" s="1"/>
      <c r="G14" s="1"/>
      <c r="H14" s="1"/>
      <c r="I14" s="1"/>
      <c r="J14" s="37"/>
      <c r="K14" s="1"/>
      <c r="L14" s="1"/>
      <c r="M14" s="1"/>
      <c r="N14" s="60"/>
      <c r="O14" s="1"/>
      <c r="P14" s="1"/>
      <c r="Q14" s="1"/>
      <c r="R14" s="1"/>
      <c r="T14" s="9"/>
      <c r="U14" s="1"/>
      <c r="V14" s="1"/>
      <c r="X14" s="1">
        <v>4</v>
      </c>
      <c r="AC14" s="1"/>
      <c r="AD14" s="1"/>
      <c r="AF14" s="1"/>
      <c r="AG14" s="1"/>
    </row>
    <row r="15" spans="1:33" x14ac:dyDescent="0.35">
      <c r="A15" s="1"/>
      <c r="B15" s="1"/>
      <c r="C15" s="1"/>
      <c r="D15" s="1"/>
      <c r="E15" s="1"/>
      <c r="G15" s="1"/>
      <c r="H15" s="1"/>
      <c r="I15" s="45"/>
      <c r="J15" s="45"/>
      <c r="K15" s="1"/>
      <c r="L15" s="1"/>
      <c r="M15" s="1"/>
      <c r="N15" s="60"/>
      <c r="O15" s="1"/>
      <c r="P15" s="1"/>
      <c r="Q15" s="1"/>
      <c r="R15" s="1"/>
      <c r="T15" s="1"/>
      <c r="U15" s="1"/>
      <c r="V15" s="1"/>
      <c r="X15" s="1">
        <v>5</v>
      </c>
      <c r="AC15" s="1"/>
      <c r="AD15" s="1"/>
      <c r="AF15" s="1"/>
      <c r="AG15" s="1"/>
    </row>
    <row r="16" spans="1:33" x14ac:dyDescent="0.35">
      <c r="A16" s="1"/>
      <c r="B16" s="1"/>
      <c r="C16" s="1"/>
      <c r="D16" s="1"/>
      <c r="E16" s="1"/>
      <c r="G16" s="1"/>
      <c r="H16" s="1"/>
      <c r="I16" s="45"/>
      <c r="J16" s="45"/>
      <c r="K16" s="1"/>
      <c r="L16" s="1"/>
      <c r="M16" s="1"/>
      <c r="N16" s="60"/>
      <c r="O16" s="1"/>
      <c r="P16" s="1"/>
      <c r="Q16" s="1"/>
      <c r="R16" s="1"/>
      <c r="T16" s="9"/>
      <c r="U16" s="1"/>
      <c r="V16" s="1"/>
      <c r="AC16" s="1"/>
      <c r="AD16" s="1"/>
      <c r="AF16" s="1"/>
      <c r="AG16" s="1"/>
    </row>
    <row r="17" spans="1:33" x14ac:dyDescent="0.35">
      <c r="A17" s="1"/>
      <c r="B17" s="1"/>
      <c r="C17" s="1"/>
      <c r="D17" s="1"/>
      <c r="E17" s="1"/>
      <c r="G17" s="1"/>
      <c r="H17" s="1"/>
      <c r="I17" s="45"/>
      <c r="J17" s="45"/>
      <c r="K17" s="1"/>
      <c r="L17" s="1"/>
      <c r="M17" s="1"/>
      <c r="N17" s="60"/>
      <c r="O17" s="1"/>
      <c r="P17" s="1"/>
      <c r="Q17" s="1"/>
      <c r="R17" s="1"/>
      <c r="T17" s="1"/>
      <c r="U17" s="1"/>
      <c r="V17" s="1"/>
      <c r="AC17" s="1"/>
      <c r="AD17" s="1"/>
      <c r="AF17" s="1"/>
      <c r="AG17" s="1"/>
    </row>
    <row r="18" spans="1:33" x14ac:dyDescent="0.35">
      <c r="A18" s="1"/>
      <c r="B18" s="1"/>
      <c r="C18" s="1"/>
      <c r="D18" s="1"/>
      <c r="E18" s="1"/>
      <c r="G18" s="1"/>
      <c r="H18" s="1"/>
      <c r="I18" s="45"/>
      <c r="J18" s="45"/>
      <c r="K18" s="1"/>
      <c r="L18" s="1"/>
      <c r="M18" s="1"/>
      <c r="N18" s="60"/>
      <c r="O18" s="1"/>
      <c r="P18" s="1"/>
      <c r="Q18" s="1"/>
      <c r="R18" s="1"/>
      <c r="T18" s="9"/>
      <c r="U18" s="1"/>
      <c r="V18" s="1"/>
      <c r="AC18" s="1"/>
      <c r="AD18" s="1"/>
      <c r="AF18" s="1"/>
      <c r="AG18" s="1"/>
    </row>
    <row r="19" spans="1:33" x14ac:dyDescent="0.35">
      <c r="A19" s="1"/>
      <c r="B19" s="1"/>
      <c r="C19" s="1"/>
      <c r="D19" s="1"/>
      <c r="E19" s="1"/>
      <c r="G19" s="1"/>
      <c r="H19" s="1"/>
      <c r="I19" s="45"/>
      <c r="J19" s="45"/>
      <c r="K19" s="1"/>
      <c r="L19" s="1"/>
      <c r="M19" s="1"/>
      <c r="N19" s="60"/>
      <c r="O19" s="1"/>
      <c r="P19" s="1"/>
      <c r="Q19" s="1"/>
      <c r="R19" s="1"/>
      <c r="T19" s="9"/>
      <c r="U19" s="1"/>
      <c r="V19" s="1"/>
      <c r="AC19" s="1"/>
      <c r="AD19" s="1"/>
      <c r="AF19" s="1"/>
      <c r="AG19" s="1"/>
    </row>
    <row r="20" spans="1:33" x14ac:dyDescent="0.35">
      <c r="A20" s="1"/>
      <c r="B20" s="1"/>
      <c r="C20" s="1"/>
      <c r="D20" s="1"/>
      <c r="E20" s="1"/>
      <c r="G20" s="1"/>
      <c r="H20" s="1"/>
      <c r="I20" s="45"/>
      <c r="J20" s="45"/>
      <c r="K20" s="1"/>
      <c r="L20" s="1"/>
      <c r="M20" s="1"/>
      <c r="N20" s="60"/>
      <c r="O20" s="1"/>
      <c r="P20" s="1"/>
      <c r="Q20" s="1"/>
      <c r="R20" s="1"/>
      <c r="T20" s="9"/>
      <c r="U20" s="1"/>
      <c r="V20" s="1"/>
      <c r="AC20" s="1"/>
      <c r="AD20" s="1"/>
      <c r="AF20" s="1"/>
      <c r="AG20" s="1"/>
    </row>
    <row r="21" spans="1:33" x14ac:dyDescent="0.35">
      <c r="A21" s="1"/>
      <c r="B21" s="1"/>
      <c r="C21" s="1"/>
      <c r="D21" s="1" t="str">
        <f t="shared" ref="D21:D36" si="0">B21&amp;" "&amp;A21</f>
        <v xml:space="preserve"> </v>
      </c>
      <c r="E21" s="1"/>
      <c r="G21" s="1"/>
      <c r="H21" s="1"/>
      <c r="I21" s="45"/>
      <c r="J21" s="45"/>
      <c r="K21" s="1"/>
      <c r="L21" s="1"/>
      <c r="M21" s="1"/>
      <c r="N21" s="60"/>
      <c r="O21" s="1"/>
      <c r="P21" s="1"/>
      <c r="Q21" s="1"/>
      <c r="R21" s="1"/>
      <c r="T21" s="1"/>
      <c r="U21" s="1"/>
      <c r="V21" s="1"/>
      <c r="AC21" s="1"/>
      <c r="AD21" s="1"/>
      <c r="AF21" s="1"/>
      <c r="AG21" s="1"/>
    </row>
    <row r="22" spans="1:33" x14ac:dyDescent="0.35">
      <c r="A22" s="1"/>
      <c r="B22" s="1"/>
      <c r="C22" s="1"/>
      <c r="D22" s="1" t="str">
        <f t="shared" si="0"/>
        <v xml:space="preserve"> </v>
      </c>
      <c r="E22" s="1"/>
      <c r="G22" s="1"/>
      <c r="H22" s="1"/>
      <c r="I22" s="45"/>
      <c r="J22" s="45"/>
      <c r="K22" s="1"/>
      <c r="L22" s="1"/>
      <c r="M22" s="1"/>
      <c r="N22" s="60"/>
      <c r="O22" s="1"/>
      <c r="P22" s="1"/>
      <c r="Q22" s="1"/>
      <c r="R22" s="1"/>
      <c r="T22" s="1"/>
      <c r="U22" s="1"/>
      <c r="V22" s="1"/>
      <c r="AC22" s="1"/>
      <c r="AD22" s="1"/>
      <c r="AF22" s="1"/>
      <c r="AG22" s="1"/>
    </row>
    <row r="23" spans="1:33" x14ac:dyDescent="0.35">
      <c r="A23" s="1"/>
      <c r="B23" s="1"/>
      <c r="C23" s="1"/>
      <c r="D23" s="1" t="str">
        <f t="shared" si="0"/>
        <v xml:space="preserve"> </v>
      </c>
      <c r="E23" s="1"/>
      <c r="G23" s="1"/>
      <c r="H23" s="46"/>
      <c r="I23" s="1"/>
      <c r="J23" s="37"/>
      <c r="K23" s="1"/>
      <c r="L23" s="1"/>
      <c r="M23" s="1"/>
      <c r="N23" s="60"/>
      <c r="O23" s="1"/>
      <c r="P23" s="1"/>
      <c r="Q23" s="1"/>
      <c r="R23" s="1"/>
      <c r="T23" s="1"/>
      <c r="U23" s="1"/>
      <c r="V23" s="1"/>
      <c r="AC23" s="1"/>
      <c r="AD23" s="1"/>
      <c r="AF23" s="1"/>
      <c r="AG23" s="1"/>
    </row>
    <row r="24" spans="1:33" x14ac:dyDescent="0.35">
      <c r="A24" s="1"/>
      <c r="B24" s="1"/>
      <c r="C24" s="1"/>
      <c r="D24" s="1" t="str">
        <f t="shared" si="0"/>
        <v xml:space="preserve"> </v>
      </c>
      <c r="E24" s="1"/>
      <c r="G24" s="1"/>
      <c r="H24" s="46"/>
      <c r="I24" s="1"/>
      <c r="J24" s="37"/>
      <c r="K24" s="1"/>
      <c r="L24" s="1"/>
      <c r="M24" s="1"/>
      <c r="N24" s="60"/>
      <c r="O24" s="1"/>
      <c r="P24" s="1"/>
      <c r="Q24" s="1"/>
      <c r="R24" s="1"/>
      <c r="T24" s="1"/>
      <c r="U24" s="1"/>
      <c r="V24" s="1"/>
      <c r="AC24" s="1"/>
      <c r="AD24" s="1"/>
      <c r="AF24" s="1"/>
      <c r="AG24" s="1"/>
    </row>
    <row r="25" spans="1:33" x14ac:dyDescent="0.35">
      <c r="A25" s="1"/>
      <c r="B25" s="1"/>
      <c r="C25" s="1"/>
      <c r="D25" s="1" t="str">
        <f t="shared" si="0"/>
        <v xml:space="preserve"> </v>
      </c>
      <c r="E25" s="1"/>
      <c r="G25" s="1"/>
      <c r="H25" s="1"/>
      <c r="I25" s="1"/>
      <c r="J25" s="37"/>
      <c r="K25" s="1"/>
      <c r="L25" s="1"/>
      <c r="M25" s="1"/>
      <c r="N25" s="60"/>
      <c r="O25" s="1"/>
      <c r="P25" s="1"/>
      <c r="Q25" s="1"/>
      <c r="R25" s="1"/>
      <c r="T25" s="1"/>
      <c r="U25" s="1"/>
      <c r="V25" s="1"/>
      <c r="AC25" s="1"/>
      <c r="AD25" s="1"/>
      <c r="AF25" s="1"/>
      <c r="AG25" s="1"/>
    </row>
    <row r="26" spans="1:33" x14ac:dyDescent="0.35">
      <c r="A26" s="1"/>
      <c r="B26" s="1"/>
      <c r="C26" s="1"/>
      <c r="D26" s="1" t="str">
        <f t="shared" si="0"/>
        <v xml:space="preserve"> </v>
      </c>
      <c r="E26" s="1"/>
      <c r="G26" s="1"/>
      <c r="H26" s="1"/>
      <c r="I26" s="1"/>
      <c r="J26" s="37"/>
      <c r="K26" s="1"/>
      <c r="L26" s="1"/>
      <c r="M26" s="1"/>
      <c r="N26" s="60"/>
      <c r="O26" s="1"/>
      <c r="P26" s="1"/>
      <c r="Q26" s="1"/>
      <c r="R26" s="1"/>
      <c r="T26" s="1"/>
      <c r="U26" s="1"/>
      <c r="V26" s="1"/>
      <c r="AC26" s="1"/>
      <c r="AD26" s="1"/>
      <c r="AF26" s="1"/>
      <c r="AG26" s="1"/>
    </row>
    <row r="27" spans="1:33" x14ac:dyDescent="0.35">
      <c r="A27" s="1"/>
      <c r="B27" s="1"/>
      <c r="C27" s="1"/>
      <c r="D27" s="1" t="str">
        <f t="shared" si="0"/>
        <v xml:space="preserve"> </v>
      </c>
      <c r="E27" s="1"/>
      <c r="G27" s="1"/>
      <c r="H27" s="1"/>
      <c r="I27" s="1"/>
      <c r="J27" s="37"/>
      <c r="K27" s="1"/>
      <c r="L27" s="1"/>
      <c r="M27" s="1"/>
      <c r="N27" s="60"/>
      <c r="O27" s="1"/>
      <c r="P27" s="1"/>
      <c r="Q27" s="1"/>
      <c r="R27" s="1"/>
      <c r="T27" s="1"/>
      <c r="U27" s="1"/>
      <c r="V27" s="1"/>
      <c r="AC27" s="1"/>
      <c r="AD27" s="1"/>
      <c r="AF27" s="1"/>
      <c r="AG27" s="1"/>
    </row>
    <row r="28" spans="1:33" x14ac:dyDescent="0.35">
      <c r="A28" s="1"/>
      <c r="B28" s="1"/>
      <c r="C28" s="1"/>
      <c r="D28" s="1" t="str">
        <f t="shared" si="0"/>
        <v xml:space="preserve"> </v>
      </c>
      <c r="E28" s="1"/>
      <c r="G28" s="1"/>
      <c r="H28" s="1"/>
      <c r="I28" s="1"/>
      <c r="J28" s="37"/>
      <c r="K28" s="1"/>
      <c r="L28" s="1"/>
      <c r="M28" s="1"/>
      <c r="N28" s="60"/>
      <c r="O28" s="1"/>
      <c r="P28" s="1"/>
      <c r="Q28" s="1"/>
      <c r="R28" s="1"/>
      <c r="T28" s="1"/>
      <c r="U28" s="1"/>
      <c r="V28" s="1"/>
      <c r="AC28" s="1"/>
      <c r="AD28" s="1"/>
      <c r="AF28" s="1"/>
      <c r="AG28" s="1"/>
    </row>
    <row r="29" spans="1:33" x14ac:dyDescent="0.35">
      <c r="A29" s="1"/>
      <c r="B29" s="1"/>
      <c r="C29" s="1"/>
      <c r="D29" s="1" t="str">
        <f t="shared" si="0"/>
        <v xml:space="preserve"> </v>
      </c>
      <c r="E29" s="1"/>
      <c r="G29" s="1"/>
      <c r="H29" s="1"/>
      <c r="I29" s="1"/>
      <c r="J29" s="37"/>
      <c r="K29" s="1"/>
      <c r="L29" s="1"/>
      <c r="M29" s="1"/>
      <c r="N29" s="60"/>
      <c r="O29" s="1"/>
      <c r="P29" s="1"/>
      <c r="Q29" s="1"/>
      <c r="R29" s="1"/>
      <c r="T29" s="1"/>
      <c r="U29" s="1"/>
      <c r="V29" s="1"/>
      <c r="AC29" s="1"/>
      <c r="AD29" s="1"/>
      <c r="AF29" s="1"/>
      <c r="AG29" s="1"/>
    </row>
    <row r="30" spans="1:33" x14ac:dyDescent="0.35">
      <c r="A30" s="1"/>
      <c r="B30" s="1"/>
      <c r="C30" s="1"/>
      <c r="D30" s="1" t="str">
        <f t="shared" si="0"/>
        <v xml:space="preserve"> </v>
      </c>
      <c r="E30" s="1"/>
      <c r="G30" s="1"/>
      <c r="H30" s="1"/>
      <c r="I30" s="1"/>
      <c r="J30" s="37"/>
      <c r="K30" s="1"/>
      <c r="L30" s="1"/>
      <c r="M30" s="1"/>
      <c r="N30" s="60"/>
      <c r="O30" s="1"/>
      <c r="P30" s="1"/>
      <c r="Q30" s="1"/>
      <c r="R30" s="1"/>
      <c r="T30" s="1"/>
      <c r="U30" s="1"/>
      <c r="V30" s="1"/>
      <c r="AC30" s="1"/>
      <c r="AD30" s="1"/>
      <c r="AF30" s="1"/>
      <c r="AG30" s="1"/>
    </row>
    <row r="31" spans="1:33" x14ac:dyDescent="0.35">
      <c r="A31" s="1"/>
      <c r="B31" s="1"/>
      <c r="C31" s="1"/>
      <c r="D31" s="1" t="str">
        <f t="shared" si="0"/>
        <v xml:space="preserve"> </v>
      </c>
      <c r="E31" s="1"/>
      <c r="G31" s="1"/>
      <c r="H31" s="1"/>
      <c r="I31" s="1"/>
      <c r="J31" s="37"/>
      <c r="K31" s="1"/>
      <c r="L31" s="1"/>
      <c r="M31" s="1"/>
      <c r="N31" s="60"/>
      <c r="O31" s="1"/>
      <c r="P31" s="1"/>
      <c r="Q31" s="1"/>
      <c r="R31" s="1"/>
      <c r="T31" s="1"/>
      <c r="U31" s="1"/>
      <c r="V31" s="1"/>
      <c r="AC31" s="1"/>
      <c r="AD31" s="1"/>
    </row>
    <row r="32" spans="1:33" x14ac:dyDescent="0.35">
      <c r="A32" s="1"/>
      <c r="B32" s="1"/>
      <c r="C32" s="1"/>
      <c r="D32" s="1" t="str">
        <f t="shared" si="0"/>
        <v xml:space="preserve"> </v>
      </c>
      <c r="E32" s="1"/>
      <c r="G32" s="1"/>
      <c r="H32" s="1"/>
      <c r="I32" s="1"/>
      <c r="J32" s="37"/>
      <c r="K32" s="1"/>
      <c r="L32" s="1"/>
      <c r="M32" s="1"/>
      <c r="N32" s="60"/>
      <c r="O32" s="1"/>
      <c r="P32" s="1"/>
      <c r="Q32" s="1"/>
      <c r="R32" s="1"/>
      <c r="T32" s="1"/>
      <c r="U32" s="1"/>
      <c r="V32" s="1"/>
      <c r="AC32" s="1"/>
      <c r="AD32" s="1"/>
    </row>
    <row r="33" spans="1:30" x14ac:dyDescent="0.35">
      <c r="A33" s="1"/>
      <c r="B33" s="1"/>
      <c r="C33" s="1"/>
      <c r="D33" s="1" t="str">
        <f t="shared" si="0"/>
        <v xml:space="preserve"> </v>
      </c>
      <c r="E33" s="1"/>
      <c r="G33" s="1"/>
      <c r="H33" s="1"/>
      <c r="I33" s="1"/>
      <c r="J33" s="37"/>
      <c r="K33" s="1"/>
      <c r="L33" s="1"/>
      <c r="M33" s="1"/>
      <c r="N33" s="60"/>
      <c r="O33" s="1"/>
      <c r="P33" s="1"/>
      <c r="Q33" s="1"/>
      <c r="R33" s="1"/>
      <c r="T33" s="1"/>
      <c r="U33" s="1"/>
      <c r="V33" s="1"/>
      <c r="AC33" s="1"/>
      <c r="AD33" s="1"/>
    </row>
    <row r="34" spans="1:30" x14ac:dyDescent="0.35">
      <c r="A34" s="1"/>
      <c r="B34" s="1"/>
      <c r="C34" s="1"/>
      <c r="D34" s="1" t="str">
        <f t="shared" si="0"/>
        <v xml:space="preserve"> </v>
      </c>
      <c r="E34" s="1"/>
      <c r="G34" s="1"/>
      <c r="H34" s="1"/>
      <c r="I34" s="1"/>
      <c r="J34" s="37"/>
      <c r="K34" s="1"/>
      <c r="L34" s="1"/>
      <c r="M34" s="1"/>
      <c r="N34" s="60"/>
      <c r="O34" s="1"/>
      <c r="P34" s="1"/>
      <c r="Q34" s="1"/>
      <c r="R34" s="1"/>
      <c r="T34" s="1"/>
      <c r="U34" s="1"/>
      <c r="V34" s="1"/>
      <c r="AC34" s="1"/>
      <c r="AD34" s="1"/>
    </row>
    <row r="35" spans="1:30" x14ac:dyDescent="0.35">
      <c r="A35" s="1"/>
      <c r="B35" s="1"/>
      <c r="C35" s="1"/>
      <c r="D35" s="1" t="str">
        <f t="shared" si="0"/>
        <v xml:space="preserve"> </v>
      </c>
      <c r="E35" s="1"/>
      <c r="G35" s="1"/>
      <c r="H35" s="1"/>
      <c r="I35" s="1"/>
      <c r="J35" s="37"/>
      <c r="K35" s="1"/>
      <c r="L35" s="1"/>
      <c r="M35" s="1"/>
      <c r="N35" s="60"/>
      <c r="O35" s="1"/>
      <c r="P35" s="1"/>
      <c r="Q35" s="1"/>
      <c r="R35" s="1"/>
      <c r="T35" s="1"/>
      <c r="U35" s="1"/>
      <c r="V35" s="1"/>
      <c r="AC35" s="1"/>
      <c r="AD35" s="1"/>
    </row>
    <row r="36" spans="1:30" x14ac:dyDescent="0.35">
      <c r="A36" s="1"/>
      <c r="B36" s="1"/>
      <c r="C36" s="1"/>
      <c r="D36" s="1" t="str">
        <f t="shared" si="0"/>
        <v xml:space="preserve"> </v>
      </c>
      <c r="E36" s="1"/>
      <c r="G36" s="1"/>
      <c r="H36" s="1"/>
      <c r="I36" s="1"/>
      <c r="J36" s="37"/>
      <c r="K36" s="1"/>
      <c r="L36" s="1"/>
      <c r="M36" s="1"/>
      <c r="N36" s="60"/>
      <c r="O36" s="1"/>
      <c r="P36" s="1"/>
      <c r="Q36" s="1"/>
      <c r="R36" s="1"/>
      <c r="T36" s="1"/>
      <c r="U36" s="1"/>
      <c r="V36" s="1"/>
      <c r="AC36" s="1"/>
      <c r="AD36" s="1"/>
    </row>
    <row r="37" spans="1:30" x14ac:dyDescent="0.35">
      <c r="A37" s="1"/>
      <c r="B37" s="1"/>
      <c r="C37" s="1"/>
      <c r="D37" s="1" t="str">
        <f t="shared" ref="D37:D59" si="1">B37&amp;" "&amp;A37</f>
        <v xml:space="preserve"> </v>
      </c>
      <c r="E37" s="1"/>
      <c r="G37" s="1"/>
      <c r="H37" s="1"/>
      <c r="I37" s="1"/>
      <c r="J37" s="37"/>
      <c r="K37" s="1"/>
      <c r="L37" s="1"/>
      <c r="M37" s="1"/>
      <c r="N37" s="60"/>
      <c r="O37" s="1"/>
      <c r="P37" s="1"/>
      <c r="Q37" s="1"/>
      <c r="R37" s="1"/>
      <c r="T37" s="1"/>
      <c r="U37" s="1"/>
      <c r="V37" s="1"/>
      <c r="AC37" s="1"/>
      <c r="AD37" s="1"/>
    </row>
    <row r="38" spans="1:30" x14ac:dyDescent="0.35">
      <c r="A38" s="1"/>
      <c r="B38" s="1"/>
      <c r="C38" s="1"/>
      <c r="D38" s="1" t="str">
        <f t="shared" si="1"/>
        <v xml:space="preserve"> </v>
      </c>
      <c r="E38" s="1"/>
      <c r="G38" s="1"/>
      <c r="H38" s="1"/>
      <c r="I38" s="1"/>
      <c r="J38" s="37"/>
      <c r="K38" s="1"/>
      <c r="L38" s="1"/>
      <c r="M38" s="1"/>
      <c r="N38" s="60"/>
      <c r="O38" s="1"/>
      <c r="P38" s="1"/>
      <c r="Q38" s="1"/>
      <c r="R38" s="1"/>
      <c r="T38" s="1"/>
      <c r="U38" s="1"/>
      <c r="V38" s="1"/>
      <c r="AC38" s="1"/>
      <c r="AD38" s="1"/>
    </row>
    <row r="39" spans="1:30" x14ac:dyDescent="0.35">
      <c r="A39" s="1"/>
      <c r="B39" s="1"/>
      <c r="C39" s="1"/>
      <c r="D39" s="1" t="str">
        <f t="shared" si="1"/>
        <v xml:space="preserve"> </v>
      </c>
      <c r="E39" s="1"/>
      <c r="G39" s="1"/>
      <c r="H39" s="1"/>
      <c r="I39" s="1"/>
      <c r="J39" s="37"/>
      <c r="K39" s="1"/>
      <c r="L39" s="1"/>
      <c r="M39" s="1"/>
      <c r="N39" s="60"/>
      <c r="O39" s="1"/>
      <c r="P39" s="1"/>
      <c r="Q39" s="1"/>
      <c r="R39" s="1"/>
      <c r="T39" s="1"/>
      <c r="U39" s="1"/>
      <c r="V39" s="1"/>
      <c r="AC39" s="1"/>
      <c r="AD39" s="1"/>
    </row>
    <row r="40" spans="1:30" x14ac:dyDescent="0.35">
      <c r="A40" s="1"/>
      <c r="B40" s="1"/>
      <c r="C40" s="1"/>
      <c r="D40" s="1" t="str">
        <f t="shared" si="1"/>
        <v xml:space="preserve"> </v>
      </c>
      <c r="E40" s="1"/>
      <c r="G40" s="1"/>
      <c r="H40" s="1"/>
      <c r="I40" s="1"/>
      <c r="J40" s="37"/>
      <c r="K40" s="1"/>
      <c r="L40" s="1"/>
      <c r="M40" s="1"/>
      <c r="N40" s="60"/>
      <c r="O40" s="1"/>
      <c r="P40" s="1"/>
      <c r="Q40" s="1"/>
      <c r="R40" s="1"/>
      <c r="T40" s="1"/>
      <c r="U40" s="1"/>
      <c r="V40" s="1"/>
      <c r="AC40" s="1"/>
      <c r="AD40" s="1"/>
    </row>
    <row r="41" spans="1:30" x14ac:dyDescent="0.35">
      <c r="A41" s="1"/>
      <c r="B41" s="1"/>
      <c r="C41" s="1"/>
      <c r="D41" s="1" t="str">
        <f t="shared" si="1"/>
        <v xml:space="preserve"> </v>
      </c>
      <c r="E41" s="1"/>
      <c r="G41" s="1"/>
      <c r="H41" s="1"/>
      <c r="I41" s="1"/>
      <c r="J41" s="37"/>
      <c r="K41" s="1"/>
      <c r="L41" s="1"/>
      <c r="M41" s="1"/>
      <c r="N41" s="60"/>
      <c r="O41" s="1"/>
      <c r="P41" s="1"/>
      <c r="Q41" s="1"/>
      <c r="R41" s="1"/>
      <c r="T41" s="1"/>
      <c r="U41" s="1"/>
      <c r="V41" s="1"/>
      <c r="AC41" s="1"/>
      <c r="AD41" s="1"/>
    </row>
    <row r="42" spans="1:30" x14ac:dyDescent="0.35">
      <c r="A42" s="1"/>
      <c r="B42" s="1"/>
      <c r="C42" s="1"/>
      <c r="D42" s="1" t="str">
        <f t="shared" si="1"/>
        <v xml:space="preserve"> </v>
      </c>
      <c r="E42" s="1"/>
      <c r="G42" s="1"/>
      <c r="H42" s="1"/>
      <c r="I42" s="1"/>
      <c r="J42" s="37"/>
      <c r="K42" s="1"/>
      <c r="L42" s="1"/>
      <c r="M42" s="1"/>
      <c r="N42" s="60"/>
      <c r="O42" s="1"/>
      <c r="P42" s="1"/>
      <c r="Q42" s="1"/>
      <c r="R42" s="1"/>
      <c r="T42" s="1"/>
      <c r="U42" s="1"/>
      <c r="V42" s="1"/>
      <c r="AC42" s="1"/>
      <c r="AD42" s="1"/>
    </row>
    <row r="43" spans="1:30" x14ac:dyDescent="0.35">
      <c r="A43" s="1"/>
      <c r="D43" s="1" t="str">
        <f t="shared" si="1"/>
        <v xml:space="preserve"> </v>
      </c>
      <c r="E43" s="1"/>
      <c r="G43" s="1"/>
      <c r="H43" s="1"/>
      <c r="I43" s="1"/>
      <c r="J43" s="37"/>
      <c r="K43" s="1"/>
      <c r="L43" s="1"/>
      <c r="M43" s="1"/>
      <c r="N43" s="60"/>
      <c r="O43" s="1"/>
      <c r="P43" s="1"/>
      <c r="Q43" s="1"/>
      <c r="R43" s="1"/>
      <c r="T43" s="1"/>
      <c r="U43" s="1"/>
      <c r="V43" s="1"/>
      <c r="AC43" s="1"/>
      <c r="AD43" s="1"/>
    </row>
    <row r="44" spans="1:30" x14ac:dyDescent="0.35">
      <c r="A44" s="1"/>
      <c r="B44" s="1"/>
      <c r="C44" s="1"/>
      <c r="D44" s="1" t="str">
        <f t="shared" si="1"/>
        <v xml:space="preserve"> </v>
      </c>
      <c r="E44" s="1"/>
      <c r="G44" s="1"/>
      <c r="H44" s="1"/>
      <c r="I44" s="1"/>
      <c r="J44" s="37"/>
      <c r="K44" s="1"/>
      <c r="L44" s="1"/>
      <c r="M44" s="1"/>
      <c r="N44" s="60"/>
      <c r="O44" s="1"/>
      <c r="P44" s="1"/>
      <c r="Q44" s="1"/>
      <c r="R44" s="1"/>
      <c r="T44" s="1"/>
      <c r="U44" s="1"/>
      <c r="V44" s="1"/>
      <c r="AC44" s="1"/>
      <c r="AD44" s="1"/>
    </row>
    <row r="45" spans="1:30" x14ac:dyDescent="0.35">
      <c r="A45" s="1"/>
      <c r="B45" s="1"/>
      <c r="C45" s="1"/>
      <c r="D45" s="1" t="str">
        <f t="shared" si="1"/>
        <v xml:space="preserve"> </v>
      </c>
      <c r="E45" s="1"/>
      <c r="G45" s="1"/>
      <c r="H45" s="1"/>
      <c r="I45" s="1"/>
      <c r="J45" s="37"/>
      <c r="K45" s="1"/>
      <c r="L45" s="1"/>
      <c r="M45" s="1"/>
      <c r="N45" s="60"/>
      <c r="O45" s="1"/>
      <c r="P45" s="1"/>
      <c r="Q45" s="1"/>
      <c r="R45" s="1"/>
      <c r="T45" s="9"/>
      <c r="U45" s="9"/>
      <c r="V45" s="1"/>
      <c r="AC45" s="1"/>
      <c r="AD45" s="1"/>
    </row>
    <row r="46" spans="1:30" x14ac:dyDescent="0.35">
      <c r="A46" s="1"/>
      <c r="B46" s="1"/>
      <c r="C46" s="1"/>
      <c r="D46" s="1" t="str">
        <f t="shared" si="1"/>
        <v xml:space="preserve"> </v>
      </c>
      <c r="E46" s="1"/>
      <c r="G46" s="1"/>
      <c r="H46" s="1"/>
      <c r="I46" s="1"/>
      <c r="J46" s="37"/>
      <c r="K46" s="1"/>
      <c r="L46" s="1"/>
      <c r="M46" s="1"/>
      <c r="N46" s="60"/>
      <c r="O46" s="1"/>
      <c r="P46" s="1"/>
      <c r="Q46" s="1"/>
      <c r="R46" s="1"/>
      <c r="T46" s="10"/>
      <c r="U46" s="10"/>
      <c r="V46" s="1"/>
      <c r="AC46" s="1"/>
      <c r="AD46" s="1"/>
    </row>
    <row r="47" spans="1:30" x14ac:dyDescent="0.35">
      <c r="A47" s="1"/>
      <c r="B47" s="1"/>
      <c r="C47" s="1"/>
      <c r="D47" s="1" t="str">
        <f t="shared" si="1"/>
        <v xml:space="preserve"> </v>
      </c>
      <c r="E47" s="1"/>
      <c r="G47" s="1"/>
      <c r="H47" s="1"/>
      <c r="I47" s="1"/>
      <c r="J47" s="37"/>
      <c r="K47" s="1"/>
      <c r="L47" s="1"/>
      <c r="M47" s="1"/>
      <c r="N47" s="60"/>
      <c r="O47" s="1"/>
      <c r="P47" s="1"/>
      <c r="Q47" s="1"/>
      <c r="R47" s="1"/>
      <c r="T47" s="9"/>
      <c r="U47" s="9"/>
      <c r="V47" s="1"/>
      <c r="AC47" s="1"/>
      <c r="AD47" s="1"/>
    </row>
    <row r="48" spans="1:30" x14ac:dyDescent="0.35">
      <c r="A48" s="1"/>
      <c r="B48" s="1"/>
      <c r="C48" s="1"/>
      <c r="D48" s="1" t="str">
        <f t="shared" si="1"/>
        <v xml:space="preserve"> </v>
      </c>
      <c r="E48" s="1"/>
      <c r="G48" s="1"/>
      <c r="H48" s="1"/>
      <c r="I48" s="1"/>
      <c r="J48" s="37"/>
      <c r="K48" s="1"/>
      <c r="L48" s="1"/>
      <c r="M48" s="1"/>
      <c r="N48" s="60"/>
      <c r="O48" s="1"/>
      <c r="P48" s="1"/>
      <c r="Q48" s="1"/>
      <c r="R48" s="1"/>
      <c r="T48" s="9"/>
      <c r="U48" s="9"/>
      <c r="V48" s="1"/>
      <c r="AC48" s="1"/>
      <c r="AD48" s="1"/>
    </row>
    <row r="49" spans="1:30" x14ac:dyDescent="0.35">
      <c r="A49" s="1"/>
      <c r="B49" s="1"/>
      <c r="C49" s="1"/>
      <c r="D49" s="1" t="str">
        <f t="shared" si="1"/>
        <v xml:space="preserve"> </v>
      </c>
      <c r="E49" s="1"/>
      <c r="G49" s="1"/>
      <c r="H49" s="1"/>
      <c r="I49" s="1"/>
      <c r="J49" s="37"/>
      <c r="K49" s="1"/>
      <c r="L49" s="1"/>
      <c r="M49" s="1"/>
      <c r="N49" s="60"/>
      <c r="O49" s="1"/>
      <c r="P49" s="1"/>
      <c r="Q49" s="1"/>
      <c r="R49" s="1"/>
      <c r="T49" s="9"/>
      <c r="U49" s="9"/>
      <c r="V49" s="1"/>
      <c r="AC49" s="1"/>
      <c r="AD49" s="1"/>
    </row>
    <row r="50" spans="1:30" x14ac:dyDescent="0.35">
      <c r="A50" s="1"/>
      <c r="B50" s="1"/>
      <c r="C50" s="1"/>
      <c r="D50" s="1" t="str">
        <f t="shared" si="1"/>
        <v xml:space="preserve"> </v>
      </c>
      <c r="E50" s="1"/>
      <c r="G50" s="1"/>
      <c r="H50" s="1"/>
      <c r="I50" s="1"/>
      <c r="J50" s="37"/>
      <c r="K50" s="1"/>
      <c r="L50" s="1"/>
      <c r="M50" s="1"/>
      <c r="N50" s="60"/>
      <c r="O50" s="1"/>
      <c r="P50" s="1"/>
      <c r="Q50" s="1"/>
      <c r="R50" s="1"/>
      <c r="T50" s="9"/>
      <c r="U50" s="9"/>
      <c r="V50" s="1"/>
      <c r="AC50" s="1"/>
      <c r="AD50" s="1"/>
    </row>
    <row r="51" spans="1:30" x14ac:dyDescent="0.35">
      <c r="A51" s="1"/>
      <c r="B51" s="1"/>
      <c r="C51" s="1"/>
      <c r="D51" s="1" t="str">
        <f t="shared" si="1"/>
        <v xml:space="preserve"> </v>
      </c>
      <c r="E51" s="1"/>
      <c r="G51" s="1"/>
      <c r="H51" s="1"/>
      <c r="I51" s="1"/>
      <c r="J51" s="37"/>
      <c r="K51" s="1"/>
      <c r="L51" s="1"/>
      <c r="M51" s="1"/>
      <c r="N51" s="60"/>
      <c r="O51" s="1"/>
      <c r="P51" s="1"/>
      <c r="Q51" s="1"/>
      <c r="R51" s="1"/>
      <c r="T51" s="9"/>
      <c r="U51" s="9"/>
      <c r="V51" s="1"/>
      <c r="AC51" s="1"/>
      <c r="AD51" s="1"/>
    </row>
    <row r="52" spans="1:30" x14ac:dyDescent="0.35">
      <c r="A52" s="1"/>
      <c r="B52" s="1"/>
      <c r="C52" s="1"/>
      <c r="D52" s="1" t="str">
        <f t="shared" si="1"/>
        <v xml:space="preserve"> </v>
      </c>
      <c r="E52" s="1"/>
      <c r="G52" s="1"/>
      <c r="H52" s="1"/>
      <c r="I52" s="1"/>
      <c r="J52" s="37"/>
      <c r="K52" s="1"/>
      <c r="L52" s="1"/>
      <c r="M52" s="1"/>
      <c r="N52" s="60"/>
      <c r="O52" s="1"/>
      <c r="P52" s="1"/>
      <c r="Q52" s="1"/>
      <c r="R52" s="1"/>
      <c r="T52" s="9"/>
      <c r="U52" s="9"/>
      <c r="V52" s="1"/>
      <c r="AC52" s="1"/>
      <c r="AD52" s="1"/>
    </row>
    <row r="53" spans="1:30" x14ac:dyDescent="0.35">
      <c r="A53" s="1"/>
      <c r="B53" s="1"/>
      <c r="C53" s="1"/>
      <c r="D53" s="1" t="str">
        <f t="shared" si="1"/>
        <v xml:space="preserve"> </v>
      </c>
      <c r="E53" s="1"/>
      <c r="G53" s="1"/>
      <c r="H53" s="1"/>
      <c r="I53" s="1"/>
      <c r="J53" s="37"/>
      <c r="K53" s="1"/>
      <c r="L53" s="1"/>
      <c r="M53" s="1"/>
      <c r="N53" s="60"/>
      <c r="O53" s="1"/>
      <c r="P53" s="1"/>
      <c r="Q53" s="1"/>
      <c r="R53" s="1"/>
      <c r="T53" s="9"/>
      <c r="U53" s="9"/>
      <c r="V53" s="1"/>
      <c r="AC53" s="1"/>
      <c r="AD53" s="1"/>
    </row>
    <row r="54" spans="1:30" x14ac:dyDescent="0.35">
      <c r="A54" s="1"/>
      <c r="B54" s="1"/>
      <c r="C54" s="1"/>
      <c r="D54" s="1" t="str">
        <f t="shared" si="1"/>
        <v xml:space="preserve"> </v>
      </c>
      <c r="E54" s="1"/>
      <c r="G54" s="1"/>
      <c r="H54" s="1"/>
      <c r="I54" s="1"/>
      <c r="J54" s="37"/>
      <c r="K54" s="1"/>
      <c r="L54" s="1"/>
      <c r="M54" s="1"/>
      <c r="N54" s="60"/>
      <c r="O54" s="1"/>
      <c r="P54" s="1"/>
      <c r="Q54" s="1"/>
      <c r="R54" s="1"/>
      <c r="T54" s="10"/>
      <c r="U54" s="10"/>
      <c r="V54" s="1"/>
      <c r="AC54" s="1"/>
      <c r="AD54" s="1"/>
    </row>
    <row r="55" spans="1:30" x14ac:dyDescent="0.35">
      <c r="A55" s="1"/>
      <c r="B55" s="1"/>
      <c r="C55" s="1"/>
      <c r="D55" s="1" t="str">
        <f t="shared" si="1"/>
        <v xml:space="preserve"> </v>
      </c>
      <c r="E55" s="1"/>
      <c r="G55" s="1"/>
      <c r="H55" s="1"/>
      <c r="I55" s="1"/>
      <c r="J55" s="37"/>
      <c r="K55" s="1"/>
      <c r="L55" s="1"/>
      <c r="M55" s="1"/>
      <c r="N55" s="60"/>
      <c r="O55" s="1"/>
      <c r="P55" s="1"/>
      <c r="Q55" s="1"/>
      <c r="R55" s="1"/>
      <c r="T55" s="9"/>
      <c r="U55" s="9"/>
      <c r="V55" s="1"/>
      <c r="AC55" s="1"/>
      <c r="AD55" s="1"/>
    </row>
    <row r="56" spans="1:30" x14ac:dyDescent="0.35">
      <c r="A56" s="1"/>
      <c r="B56" s="1"/>
      <c r="C56" s="1"/>
      <c r="D56" s="1" t="str">
        <f t="shared" si="1"/>
        <v xml:space="preserve"> </v>
      </c>
      <c r="E56" s="1"/>
      <c r="G56" s="1"/>
      <c r="H56" s="1"/>
      <c r="I56" s="1"/>
      <c r="J56" s="37"/>
      <c r="K56" s="1"/>
      <c r="L56" s="1"/>
      <c r="M56" s="1"/>
      <c r="N56" s="60"/>
      <c r="O56" s="1"/>
      <c r="P56" s="1"/>
      <c r="Q56" s="1"/>
      <c r="R56" s="1"/>
      <c r="V56" s="1"/>
      <c r="AC56" s="1"/>
      <c r="AD56" s="1"/>
    </row>
    <row r="57" spans="1:30" x14ac:dyDescent="0.35">
      <c r="A57" s="1"/>
      <c r="B57" s="1"/>
      <c r="C57" s="1"/>
      <c r="D57" s="1" t="str">
        <f t="shared" si="1"/>
        <v xml:space="preserve"> </v>
      </c>
      <c r="E57" s="1"/>
      <c r="G57" s="1"/>
      <c r="H57" s="1"/>
      <c r="I57" s="1"/>
      <c r="J57" s="37"/>
      <c r="K57" s="1"/>
      <c r="L57" s="1"/>
      <c r="M57" s="1"/>
      <c r="N57" s="60"/>
      <c r="O57" s="1"/>
      <c r="P57" s="1"/>
      <c r="Q57" s="1"/>
      <c r="R57" s="1"/>
      <c r="V57" s="1"/>
      <c r="AC57" s="1"/>
      <c r="AD57" s="1"/>
    </row>
    <row r="58" spans="1:30" x14ac:dyDescent="0.35">
      <c r="A58" s="1"/>
      <c r="B58" s="1"/>
      <c r="C58" s="1"/>
      <c r="D58" s="1" t="str">
        <f t="shared" si="1"/>
        <v xml:space="preserve"> </v>
      </c>
      <c r="E58" s="1"/>
      <c r="G58" s="1"/>
      <c r="H58" s="1"/>
      <c r="I58" s="1"/>
      <c r="J58" s="37"/>
      <c r="K58" s="1"/>
      <c r="L58" s="1"/>
      <c r="M58" s="1"/>
      <c r="N58" s="60"/>
      <c r="O58" s="1"/>
      <c r="P58" s="1"/>
      <c r="Q58" s="1"/>
      <c r="R58" s="1"/>
      <c r="AC58" s="1"/>
      <c r="AD58" s="1"/>
    </row>
    <row r="59" spans="1:30" x14ac:dyDescent="0.35">
      <c r="A59" s="1"/>
      <c r="B59" s="1"/>
      <c r="C59" s="1"/>
      <c r="D59" s="1" t="str">
        <f t="shared" si="1"/>
        <v xml:space="preserve"> </v>
      </c>
      <c r="E59" s="1"/>
      <c r="G59" s="1"/>
      <c r="H59" s="1"/>
      <c r="I59" s="1"/>
      <c r="J59" s="37"/>
      <c r="K59" s="1"/>
      <c r="L59" s="1"/>
      <c r="M59" s="1"/>
      <c r="N59" s="60"/>
      <c r="O59" s="1"/>
      <c r="P59" s="1"/>
      <c r="Q59" s="1"/>
      <c r="R59" s="1"/>
    </row>
  </sheetData>
  <autoFilter ref="A4:E4" xr:uid="{00000000-0009-0000-0000-000001000000}">
    <sortState xmlns:xlrd2="http://schemas.microsoft.com/office/spreadsheetml/2017/richdata2" ref="A5:D59">
      <sortCondition ref="B4"/>
    </sortState>
  </autoFilter>
  <sortState xmlns:xlrd2="http://schemas.microsoft.com/office/spreadsheetml/2017/richdata2" ref="AG7:AG40">
    <sortCondition ref="AG7:AG40"/>
  </sortState>
  <mergeCells count="2">
    <mergeCell ref="A1:E1"/>
    <mergeCell ref="G1:I1"/>
  </mergeCells>
  <hyperlinks>
    <hyperlink ref="A1" r:id="rId1" display="Info für anpassung der DropDown Menus" xr:uid="{00000000-0004-0000-0100-000000000000}"/>
    <hyperlink ref="G1" r:id="rId2" display="DAX Plattform" xr:uid="{00000000-0004-0000-0100-000001000000}"/>
    <hyperlink ref="G1:I1" r:id="rId3" display="Gloria Plattform" xr:uid="{00000000-0004-0000-0100-000002000000}"/>
  </hyperlinks>
  <pageMargins left="0.7" right="0.7" top="0.78740157499999996" bottom="0.78740157499999996" header="0.3" footer="0.3"/>
  <pageSetup paperSize="9" orientation="portrait" r:id="rId4"/>
  <headerFooter>
    <oddFooter>&amp;L_x000D_&amp;1#&amp;"Arial"&amp;7&amp;K000000 ***Este documento está clasificado como PUBLICO por TELEFÓNICA.
***This document is classified as PUBLIC by TELEFÓNICA.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900C6F5BE2D754D9CA01AA925F4DC6F" ma:contentTypeVersion="20" ma:contentTypeDescription="Ein neues Dokument erstellen." ma:contentTypeScope="" ma:versionID="6bc615845df9e9314f238056bab10504">
  <xsd:schema xmlns:xsd="http://www.w3.org/2001/XMLSchema" xmlns:xs="http://www.w3.org/2001/XMLSchema" xmlns:p="http://schemas.microsoft.com/office/2006/metadata/properties" xmlns:ns2="e2cf7c47-e68c-40c1-92e5-12c4d53c4823" xmlns:ns3="9122c828-c794-4a05-beb7-17d1d1b3cb4c" targetNamespace="http://schemas.microsoft.com/office/2006/metadata/properties" ma:root="true" ma:fieldsID="72b2a5d4575e25f858d9a9259243beb2" ns2:_="" ns3:_="">
    <xsd:import namespace="e2cf7c47-e68c-40c1-92e5-12c4d53c4823"/>
    <xsd:import namespace="9122c828-c794-4a05-beb7-17d1d1b3cb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uthor0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f7c47-e68c-40c1-92e5-12c4d53c4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f18a899c-05fb-4218-8fd1-83abddaedd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uthor0" ma:index="26" nillable="true" ma:displayName="Author" ma:format="Dropdown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2c828-c794-4a05-beb7-17d1d1b3cb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8e924d0-06ee-4025-8d3e-b63ef6b9ff34}" ma:internalName="TaxCatchAll" ma:showField="CatchAllData" ma:web="9122c828-c794-4a05-beb7-17d1d1b3cb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cf7c47-e68c-40c1-92e5-12c4d53c4823">
      <Terms xmlns="http://schemas.microsoft.com/office/infopath/2007/PartnerControls"/>
    </lcf76f155ced4ddcb4097134ff3c332f>
    <TaxCatchAll xmlns="9122c828-c794-4a05-beb7-17d1d1b3cb4c" xsi:nil="true"/>
    <Author0 xmlns="e2cf7c47-e68c-40c1-92e5-12c4d53c4823">
      <UserInfo>
        <DisplayName/>
        <AccountId xsi:nil="true"/>
        <AccountType/>
      </UserInfo>
    </Author0>
  </documentManagement>
</p:properties>
</file>

<file path=customXml/itemProps1.xml><?xml version="1.0" encoding="utf-8"?>
<ds:datastoreItem xmlns:ds="http://schemas.openxmlformats.org/officeDocument/2006/customXml" ds:itemID="{EA4C3A1D-3ADE-4135-8564-020B27383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cf7c47-e68c-40c1-92e5-12c4d53c4823"/>
    <ds:schemaRef ds:uri="9122c828-c794-4a05-beb7-17d1d1b3cb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4964AA-4F85-4B2B-9F7E-3C39B2F066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EBAE03-8D03-4A7E-B057-4F6038C3D914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www.w3.org/XML/1998/namespace"/>
    <ds:schemaRef ds:uri="9122c828-c794-4a05-beb7-17d1d1b3cb4c"/>
    <ds:schemaRef ds:uri="e2cf7c47-e68c-40c1-92e5-12c4d53c4823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65bd4d2-aa7c-445f-9ef8-222ebb1d2b43}" enabled="1" method="Privilege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19</vt:i4>
      </vt:variant>
    </vt:vector>
  </HeadingPairs>
  <TitlesOfParts>
    <vt:vector size="21" baseType="lpstr">
      <vt:lpstr>Eingabemaske</vt:lpstr>
      <vt:lpstr>Database</vt:lpstr>
      <vt:lpstr>Anforderer</vt:lpstr>
      <vt:lpstr>Baukoordinator</vt:lpstr>
      <vt:lpstr>Begründung</vt:lpstr>
      <vt:lpstr>Begründung2</vt:lpstr>
      <vt:lpstr>BOGUAP</vt:lpstr>
      <vt:lpstr>Frage</vt:lpstr>
      <vt:lpstr>GU</vt:lpstr>
      <vt:lpstr>GU7a</vt:lpstr>
      <vt:lpstr>Resources</vt:lpstr>
      <vt:lpstr>Tage</vt:lpstr>
      <vt:lpstr>Tage5</vt:lpstr>
      <vt:lpstr>Tätigkeit2</vt:lpstr>
      <vt:lpstr>Tätigkeit3</vt:lpstr>
      <vt:lpstr>Tätigkeit5</vt:lpstr>
      <vt:lpstr>Tatigkeitfinal</vt:lpstr>
      <vt:lpstr>Techniker</vt:lpstr>
      <vt:lpstr>ticket</vt:lpstr>
      <vt:lpstr>ticket1</vt:lpstr>
      <vt:lpstr>tsazeit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Fähling</dc:creator>
  <cp:lastModifiedBy>Dennis Sacher</cp:lastModifiedBy>
  <dcterms:created xsi:type="dcterms:W3CDTF">2012-10-18T13:12:59Z</dcterms:created>
  <dcterms:modified xsi:type="dcterms:W3CDTF">2026-10-20T09:36:46Z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0x0101002900C6F5BE2D754D9CA01AA925F4DC6F</vt:lpwstr>
  </property>
</Properties>
</file>