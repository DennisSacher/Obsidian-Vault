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cher\Desktop\Obsidian-Vault\02 Projekte\Bachelorarbeit\Testdurchläufe\Excel-Templates\"/>
    </mc:Choice>
  </mc:AlternateContent>
  <xr:revisionPtr revIDLastSave="0" documentId="13_ncr:1_{86DF5796-D825-41F3-B26F-5B3EA7553FDB}" xr6:coauthVersionLast="47" xr6:coauthVersionMax="47" xr10:uidLastSave="{00000000-0000-0000-0000-000000000000}"/>
  <bookViews>
    <workbookView xWindow="12790" yWindow="3540" windowWidth="19360" windowHeight="991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" l="1"/>
  <c r="Q7" i="2"/>
  <c r="Q6" i="2"/>
  <c r="Q5" i="2"/>
  <c r="D13" i="1" l="1"/>
  <c r="I29" i="1"/>
  <c r="I21" i="1"/>
  <c r="J21" i="1" s="1"/>
  <c r="I22" i="1"/>
  <c r="J22" i="1" s="1"/>
  <c r="I23" i="1"/>
  <c r="J23" i="1" s="1"/>
  <c r="I24" i="1"/>
  <c r="J24" i="1"/>
  <c r="I20" i="1"/>
  <c r="J20" i="1" s="1"/>
  <c r="K20" i="1"/>
  <c r="I27" i="1"/>
  <c r="I28" i="1"/>
  <c r="K24" i="1"/>
  <c r="K21" i="1"/>
  <c r="K22" i="1"/>
  <c r="K23" i="1"/>
  <c r="M7" i="2"/>
  <c r="M6" i="2"/>
  <c r="M5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I5" i="2"/>
  <c r="I6" i="2"/>
  <c r="I7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 Balboa Jose Carlos</author>
    <author>Fähling Pascal</author>
    <author>Buchner Christian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rgb="FF000000"/>
            <rFont val="Segoe UI"/>
            <family val="2"/>
            <charset val="1"/>
          </rPr>
          <t xml:space="preserve">Genaue Tätigkeitsbeschreibung bei Punkt 5.1. erforderlich.
</t>
        </r>
        <r>
          <rPr>
            <b/>
            <sz val="9"/>
            <color rgb="FF000000"/>
            <rFont val="Segoe UI"/>
            <family val="2"/>
            <charset val="1"/>
          </rPr>
          <t xml:space="preserve">Zeitliche Aufteilung bei Punkt 7.
</t>
        </r>
        <r>
          <rPr>
            <b/>
            <sz val="9"/>
            <color rgb="FF000000"/>
            <rFont val="Segoe UI"/>
            <family val="2"/>
            <charset val="1"/>
          </rPr>
          <t>Weitere Details bei Punkt 12.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1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1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1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2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1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1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1" shapeId="0" xr:uid="{00000000-0006-0000-0000-00000D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beim entsprechendem Tag einfügen.</t>
        </r>
      </text>
    </comment>
    <comment ref="C33" authorId="1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1" shapeId="0" xr:uid="{00000000-0006-0000-0000-00000F000000}">
      <text>
        <r>
          <rPr>
            <b/>
            <sz val="9"/>
            <color rgb="FF000000"/>
            <rFont val="Segoe UI"/>
            <family val="2"/>
            <charset val="1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einfügen.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<sst xmlns="http://schemas.openxmlformats.org/spreadsheetml/2006/main" count="164" uniqueCount="113">
  <si>
    <t>Name</t>
  </si>
  <si>
    <t>Vorname</t>
  </si>
  <si>
    <t>Tel</t>
  </si>
  <si>
    <t>Bauleiter</t>
  </si>
  <si>
    <t>Zusammen</t>
  </si>
  <si>
    <t>Simon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</si>
  <si>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</si>
  <si>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</si>
  <si>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</si>
  <si>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</si>
  <si>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</si>
  <si>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</si>
  <si>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</si>
  <si>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</si>
  <si>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</si>
  <si>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</si>
  <si>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</si>
  <si>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Techniker</t>
  </si>
  <si>
    <t>Manuel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</si>
  <si>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</si>
  <si>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</si>
  <si>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</si>
  <si>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</si>
  <si>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</si>
  <si>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</si>
  <si>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</si>
  <si>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</si>
  <si>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</si>
  <si>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</si>
  <si>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</si>
  <si>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</si>
  <si>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</si>
  <si>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</si>
  <si>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</si>
  <si>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</si>
  <si>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</si>
  <si>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Max</t>
  </si>
  <si>
    <t>Mustermann</t>
  </si>
  <si>
    <t>Maxin</t>
  </si>
  <si>
    <t>Müller</t>
  </si>
  <si>
    <t>Datum</t>
  </si>
  <si>
    <t>Mustermann Max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</si>
  <si>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</si>
  <si>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</si>
  <si>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</si>
  <si>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</si>
  <si>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</si>
  <si>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</si>
  <si>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</si>
  <si>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</si>
  <si>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</si>
  <si>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</si>
  <si>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</si>
  <si>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</si>
  <si>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</si>
  <si>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</si>
  <si>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</si>
  <si>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</si>
  <si>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>01790815555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</si>
  <si>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</si>
  <si>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</si>
  <si>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</si>
  <si>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</si>
  <si>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</si>
  <si>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</si>
  <si>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</si>
  <si>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</si>
  <si>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</si>
  <si>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</si>
  <si>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</si>
  <si>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</si>
  <si>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</si>
  <si>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</si>
  <si>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</si>
  <si>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</si>
  <si>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</si>
  <si>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</si>
  <si>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</si>
  <si>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</si>
  <si>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</si>
  <si>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</si>
  <si>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</si>
  <si>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</si>
  <si>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</si>
  <si>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</si>
  <si>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</si>
  <si>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</si>
  <si>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</si>
  <si>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</si>
  <si>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</si>
  <si>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</si>
  <si>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</si>
  <si>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</si>
  <si>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</si>
  <si>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</si>
  <si>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</si>
  <si>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</si>
  <si>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</si>
  <si>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</si>
  <si>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</si>
  <si>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</si>
  <si>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Firma X</t>
  </si>
  <si>
    <t xml:space="preserve">Sven </t>
  </si>
  <si>
    <t>Sven Mustermann</t>
  </si>
  <si>
    <t>VMK-635/Sonstige</t>
  </si>
  <si>
    <t>max.mustermann@muster-bau.example</t>
  </si>
  <si>
    <t>Muster Bau GmbH</t>
  </si>
  <si>
    <t>Musterfrau Erika</t>
  </si>
  <si>
    <t>120990497</t>
  </si>
  <si>
    <t>Erika</t>
  </si>
  <si>
    <t>Musterfrau</t>
  </si>
  <si>
    <t>+49 160 7654321</t>
  </si>
  <si>
    <t>+49 171 1234567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</si>
</sst>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  <font>
      <sz val="11"/>
      <name val="Tahoma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9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16" fillId="0" borderId="1" xfId="0" applyFont="1" applyBorder="1"/>
    <xf numFmtId="14" fontId="16" fillId="0" borderId="1" xfId="0" applyNumberFormat="1" applyFont="1" applyBorder="1"/>
    <xf numFmtId="164" fontId="16" fillId="0" borderId="1" xfId="0" applyNumberFormat="1" applyFont="1" applyBorder="1"/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49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5">
    <dxf>
      <font>
        <color theme="0"/>
      </font>
    </dxf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C39" zoomScale="70" zoomScaleNormal="70" workbookViewId="0">
      <selection activeCell="P41" sqref="P41"/>
    </sheetView>
  </sheetViews>
  <sheetFormatPr baseColWidth="10" defaultColWidth="11.453125" defaultRowHeight="14" x14ac:dyDescent="0.3"/>
  <cols>
    <col min="1" max="1" width="2.453125" style="14" customWidth="1"/>
    <col min="2" max="2" width="44.453125" style="14" customWidth="1"/>
    <col min="3" max="3" width="26.81640625" style="14" customWidth="1"/>
    <col min="4" max="4" width="13.17968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1796875" style="14" hidden="1" customWidth="1"/>
    <col min="13" max="13" width="69.1796875" style="14" hidden="1" customWidth="1"/>
    <col min="14" max="15" width="11.453125" style="14"/>
    <col min="16" max="16" width="95.453125" style="14" customWidth="1"/>
    <col min="17" max="17" width="37.17968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70" t="s">
        <v>85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73</v>
      </c>
      <c r="C6" s="67" t="s">
        <v>105</v>
      </c>
      <c r="D6" s="68"/>
      <c r="E6" s="68"/>
      <c r="F6" s="69"/>
      <c r="G6" s="27"/>
      <c r="H6" s="27"/>
      <c r="L6" s="27"/>
      <c r="M6" s="16" t="s">
        <v>72</v>
      </c>
      <c r="N6" s="27"/>
      <c r="O6" s="27"/>
      <c r="P6" s="27"/>
    </row>
    <row r="7" spans="1:16" ht="18" customHeight="1" x14ac:dyDescent="0.3">
      <c r="A7" s="27"/>
      <c r="B7" s="17" t="s">
        <v>9</v>
      </c>
      <c r="C7" s="51" t="s">
        <v>87</v>
      </c>
      <c r="D7" s="27"/>
      <c r="E7" s="27"/>
      <c r="F7" s="27"/>
      <c r="G7" s="27"/>
      <c r="H7" s="27"/>
      <c r="L7" s="27"/>
      <c r="M7" s="52" t="str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
6. Betroffener Standort:120990497
6.1 Betroffene Services (NE’s/RiFus) numerisch: 
7. Zeitraum, wenn Ausfall über mehrere Tage:
16.11.2026 8:00-9:00 ca. 1 Std MINU | 
17.11.2026 8:00-9:00 ca. 1 Std MINU | 
18.11.2026 8:00-9:00 ca. 1 Std MINU | 
8. GU-BO Support: Nein
9. Telefónica BO Support: Nein
10. Field Force Support: Nein
11. BO Assigned Group falls AdPW und Techniker vor Ort: BAYFU-GU_00-Inbox / 
BAYFU-GU_00-Inbox
12. Sonstige Bemerkungen und/oder weitere Details:</v>
      </c>
      <c r="N7" s="31"/>
      <c r="O7" s="27"/>
      <c r="P7" s="27"/>
    </row>
    <row r="8" spans="1:16" x14ac:dyDescent="0.3">
      <c r="A8" s="27"/>
      <c r="B8" s="15" t="s">
        <v>11</v>
      </c>
      <c r="C8" s="23" t="s">
        <v>106</v>
      </c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82</v>
      </c>
      <c r="C9" s="23" t="s">
        <v>15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5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12</v>
      </c>
      <c r="C11" s="23" t="s">
        <v>41</v>
      </c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x14ac:dyDescent="0.3">
      <c r="A12" s="27"/>
      <c r="B12" s="58" t="s">
        <v>84</v>
      </c>
      <c r="C12" s="63" t="s">
        <v>107</v>
      </c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">
      <c r="A13" s="27"/>
      <c r="B13" s="15" t="s">
        <v>81</v>
      </c>
      <c r="C13" s="23"/>
      <c r="D13" s="81" t="str">
        <f>VLOOKUP(C15,Database!T:U,2,0)</f>
        <v xml:space="preserve">Bitte Beschreiben den Bedarf von der Abschaltung Radio Tef-Antennen </v>
      </c>
      <c r="E13" s="82"/>
      <c r="F13" s="82"/>
      <c r="G13" s="82"/>
      <c r="H13" s="82"/>
      <c r="L13" s="27"/>
      <c r="M13" s="76" t="str">
        <f>M7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
6. Betroffener Standort:120990497
6.1 Betroffene Services (NE’s/RiFus) numerisch: 
7. Zeitraum, wenn Ausfall über mehrere Tage:
16.11.2026 8:00-9:00 ca. 1 Std MINU | 
17.11.2026 8:00-9:00 ca. 1 Std MINU | 
18.11.2026 8:00-9:00 ca. 1 Std MINU | 
8. GU-BO Support: Nein
9. Telefónica BO Support: Nein
10. Field Force Support: Nein
11. BO Assigned Group falls AdPW und Techniker vor Ort: BAYFU-GU_00-Inbox / 
BAYFU-GU_00-Inbox
12. Sonstige Bemerkungen und/oder weitere Details:</v>
      </c>
      <c r="N13" s="32"/>
      <c r="O13" s="27"/>
      <c r="P13" s="33"/>
    </row>
    <row r="14" spans="1:16" ht="29.25" customHeight="1" x14ac:dyDescent="0.3">
      <c r="A14" s="27"/>
      <c r="B14" s="58" t="s">
        <v>83</v>
      </c>
      <c r="C14" s="63" t="s">
        <v>41</v>
      </c>
      <c r="D14" s="83"/>
      <c r="E14" s="84"/>
      <c r="F14" s="84"/>
      <c r="G14" s="84"/>
      <c r="H14" s="84"/>
      <c r="L14" s="27"/>
      <c r="M14" s="76"/>
      <c r="N14" s="32"/>
      <c r="O14" s="27"/>
      <c r="P14" s="33"/>
    </row>
    <row r="15" spans="1:16" ht="14.25" customHeight="1" x14ac:dyDescent="0.3">
      <c r="A15" s="27"/>
      <c r="B15" s="17" t="s">
        <v>13</v>
      </c>
      <c r="C15" s="23" t="s">
        <v>90</v>
      </c>
      <c r="D15" s="85"/>
      <c r="E15" s="86"/>
      <c r="F15" s="86"/>
      <c r="G15" s="86"/>
      <c r="H15" s="86"/>
      <c r="J15" s="14" t="str">
        <f>J20&amp;J21&amp;J22&amp;J23&amp;J24</f>
        <v xml:space="preserve">16.11.2026 8:00-9:00 ca. 1 Std MINU | 
17.11.2026 8:00-9:00 ca. 1 Std MINU | 
18.11.2026 8:00-9:00 ca. 1 Std MINU | 
</v>
      </c>
      <c r="L15" s="27"/>
      <c r="M15" s="76"/>
      <c r="N15" s="34"/>
      <c r="O15" s="27"/>
      <c r="P15" s="27"/>
    </row>
    <row r="16" spans="1:16" ht="31.5" customHeight="1" x14ac:dyDescent="0.3">
      <c r="A16" s="27"/>
      <c r="B16" s="15" t="s">
        <v>69</v>
      </c>
      <c r="C16" s="71"/>
      <c r="D16" s="71"/>
      <c r="E16" s="71"/>
      <c r="F16" s="71"/>
      <c r="G16" s="71"/>
      <c r="H16" s="71"/>
      <c r="L16" s="27"/>
      <c r="M16" s="76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76"/>
      <c r="N17" s="27"/>
      <c r="O17" s="27"/>
      <c r="P17" s="27"/>
    </row>
    <row r="18" spans="1:16" x14ac:dyDescent="0.3">
      <c r="A18" s="27"/>
      <c r="B18" s="35" t="s">
        <v>76</v>
      </c>
      <c r="C18" s="71" t="s">
        <v>108</v>
      </c>
      <c r="D18" s="71"/>
      <c r="E18" s="71"/>
      <c r="F18" s="71"/>
      <c r="G18" s="71"/>
      <c r="H18" s="71"/>
      <c r="I18" s="20" t="s">
        <v>24</v>
      </c>
      <c r="J18" s="20"/>
      <c r="K18" s="20" t="s">
        <v>24</v>
      </c>
      <c r="L18" s="31"/>
      <c r="M18" s="76"/>
      <c r="N18" s="27"/>
      <c r="O18" s="27"/>
      <c r="P18" s="27"/>
    </row>
    <row r="19" spans="1:16" ht="28" x14ac:dyDescent="0.3">
      <c r="A19" s="27"/>
      <c r="B19" s="35" t="s">
        <v>75</v>
      </c>
      <c r="C19" s="71"/>
      <c r="D19" s="71"/>
      <c r="E19" s="71"/>
      <c r="F19" s="71"/>
      <c r="G19" s="71"/>
      <c r="H19" s="71"/>
      <c r="I19" s="56"/>
      <c r="J19" s="56"/>
      <c r="K19" s="56"/>
      <c r="L19" s="31"/>
      <c r="M19" s="76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16.11.2026 8:00-9:00 ca. 1 Std MINU | </v>
      </c>
      <c r="J20" s="18" t="str">
        <f>IF(A20&lt;=$C$21,I20&amp;CHAR(10),"")</f>
        <v xml:space="preserve">16.11.2026 8:00-9:00 ca. 1 Std MINU | 
</v>
      </c>
      <c r="K20" s="18">
        <f>IF(H22="",,CHAR(10)&amp;H22)</f>
        <v>0</v>
      </c>
      <c r="L20" s="31"/>
      <c r="M20" s="76"/>
      <c r="N20" s="27"/>
      <c r="O20" s="27"/>
      <c r="P20" s="27"/>
    </row>
    <row r="21" spans="1:16" ht="31.5" customHeight="1" x14ac:dyDescent="0.3">
      <c r="A21" s="36">
        <v>2</v>
      </c>
      <c r="B21" s="19" t="s">
        <v>77</v>
      </c>
      <c r="C21" s="42">
        <v>3</v>
      </c>
      <c r="D21" s="39" t="s">
        <v>40</v>
      </c>
      <c r="E21" s="39" t="s">
        <v>53</v>
      </c>
      <c r="F21" s="39" t="s">
        <v>54</v>
      </c>
      <c r="G21" s="39" t="s">
        <v>52</v>
      </c>
      <c r="H21" s="39" t="s">
        <v>55</v>
      </c>
      <c r="I21" s="18" t="str">
        <f>TEXT(D23,"TT.MM.JJJJ")&amp;" "&amp;TEXT(E23,"h:mm")&amp;"-"&amp;TEXT(F23,"h:mm")&amp;" ca. "&amp;ROUND(G23,1)&amp;" Std "&amp;C23&amp;" | "&amp;H23</f>
        <v xml:space="preserve">17.11.2026 8:00-9:00 ca. 1 Std MINU | </v>
      </c>
      <c r="J21" s="18" t="str">
        <f>IF(A21&lt;=$C$21,I21&amp;CHAR(10),"")</f>
        <v xml:space="preserve">17.11.2026 8:00-9:00 ca. 1 Std MINU | 
</v>
      </c>
      <c r="K21" s="18">
        <f>IF(H23="",,CHAR(10)&amp;H23)</f>
        <v>0</v>
      </c>
      <c r="L21" s="31"/>
      <c r="M21" s="76"/>
      <c r="N21" s="27"/>
      <c r="O21" s="27"/>
      <c r="P21" s="31"/>
    </row>
    <row r="22" spans="1:16" ht="15" customHeight="1" x14ac:dyDescent="0.3">
      <c r="A22" s="36">
        <v>3</v>
      </c>
      <c r="B22" s="57" t="s">
        <v>43</v>
      </c>
      <c r="C22" s="23" t="s">
        <v>95</v>
      </c>
      <c r="D22" s="24">
        <v>46342</v>
      </c>
      <c r="E22" s="25">
        <v>0.33333333333333331</v>
      </c>
      <c r="F22" s="25">
        <v>0.375</v>
      </c>
      <c r="G22" s="26">
        <v>1</v>
      </c>
      <c r="H22" s="25"/>
      <c r="I22" s="18" t="str">
        <f>TEXT(D24,"TT.MM.JJJJ")&amp;" "&amp;TEXT(E24,"h:mm")&amp;"-"&amp;TEXT(F24,"h:mm")&amp;" ca. "&amp;ROUND(G24,1)&amp;" Std "&amp;C24&amp;" | "&amp;H24</f>
        <v xml:space="preserve">18.11.2026 8:00-9:00 ca. 1 Std MINU | </v>
      </c>
      <c r="J22" s="18" t="str">
        <f>IF(A22&lt;=$C$21,I22&amp;CHAR(10),"")</f>
        <v xml:space="preserve">18.11.2026 8:00-9:00 ca. 1 Std MINU | 
</v>
      </c>
      <c r="K22" s="18">
        <f>IF(H24="",,CHAR(10)&amp;H24)</f>
        <v>0</v>
      </c>
      <c r="L22" s="31"/>
      <c r="M22" s="76"/>
      <c r="N22" s="27"/>
      <c r="O22" s="27"/>
      <c r="P22" s="27"/>
    </row>
    <row r="23" spans="1:16" ht="15" customHeight="1" x14ac:dyDescent="0.3">
      <c r="A23" s="36">
        <v>4</v>
      </c>
      <c r="B23" s="21" t="s">
        <v>44</v>
      </c>
      <c r="C23" s="64" t="s">
        <v>95</v>
      </c>
      <c r="D23" s="65">
        <v>46343</v>
      </c>
      <c r="E23" s="66">
        <v>0.33333333333333331</v>
      </c>
      <c r="F23" s="25">
        <v>0.375</v>
      </c>
      <c r="G23" s="26">
        <v>1</v>
      </c>
      <c r="H23" s="25"/>
      <c r="I23" s="18" t="str">
        <f>TEXT(D25,"TT.MM.JJJJ")&amp;" "&amp;TEXT(E25,"h:mm")&amp;"-"&amp;TEXT(F25,"h:mm")&amp;" ca. "&amp;ROUND(G25,1)&amp;" Std "&amp;C25&amp;" | "&amp;H25</f>
        <v xml:space="preserve">04.05.2017 8:00-17:00 ca. 0 Std MINU | </v>
      </c>
      <c r="J23" s="18" t="str">
        <f>IF(A23&lt;=$C$21,I23&amp;CHAR(10),"")</f>
        <v/>
      </c>
      <c r="K23" s="18">
        <f>IF(H25="",,CHAR(10)&amp;H25)</f>
        <v>0</v>
      </c>
      <c r="L23" s="31"/>
      <c r="M23" s="76"/>
      <c r="N23" s="27"/>
      <c r="O23" s="27"/>
      <c r="P23" s="27"/>
    </row>
    <row r="24" spans="1:16" ht="15" customHeight="1" x14ac:dyDescent="0.3">
      <c r="A24" s="36">
        <v>5</v>
      </c>
      <c r="B24" s="21" t="s">
        <v>45</v>
      </c>
      <c r="C24" s="64" t="s">
        <v>95</v>
      </c>
      <c r="D24" s="65">
        <v>46344</v>
      </c>
      <c r="E24" s="66">
        <v>0.33333333333333331</v>
      </c>
      <c r="F24" s="25">
        <v>0.375</v>
      </c>
      <c r="G24" s="26">
        <v>1</v>
      </c>
      <c r="H24" s="25"/>
      <c r="I24" s="18" t="str">
        <f>TEXT(D26,"TT.MM.JJJJ")&amp;" "&amp;TEXT(E26,"h:mm")&amp;"-"&amp;TEXT(F26,"h:mm")&amp;" ca. "&amp;ROUND(G26,1)&amp;" Std "&amp;C26&amp;" | "&amp;H26</f>
        <v xml:space="preserve">05.05.2017 8:00-17:00 ca. 0 Std Inbetriebnahme | </v>
      </c>
      <c r="J24" s="18" t="str">
        <f>IF(A24&lt;=$C$21,I24&amp;CHAR(10),"")</f>
        <v/>
      </c>
      <c r="K24" s="18">
        <f>IF(H26="",,CHAR(10)&amp;H26)</f>
        <v>0</v>
      </c>
      <c r="L24" s="31"/>
      <c r="M24" s="76"/>
      <c r="N24" s="27"/>
      <c r="O24" s="27"/>
      <c r="P24" s="27"/>
    </row>
    <row r="25" spans="1:16" x14ac:dyDescent="0.3">
      <c r="A25" s="27"/>
      <c r="B25" s="21" t="s">
        <v>46</v>
      </c>
      <c r="C25" s="64" t="s">
        <v>95</v>
      </c>
      <c r="D25" s="65">
        <v>42859</v>
      </c>
      <c r="E25" s="66">
        <v>0.33333333333333331</v>
      </c>
      <c r="F25" s="66">
        <v>0.70833333333333337</v>
      </c>
      <c r="G25" s="26">
        <v>0</v>
      </c>
      <c r="H25" s="25"/>
      <c r="I25" s="18"/>
      <c r="J25" s="18"/>
      <c r="K25" s="18"/>
      <c r="L25" s="31"/>
      <c r="M25" s="76"/>
      <c r="N25" s="27"/>
      <c r="O25" s="27"/>
      <c r="P25" s="27"/>
    </row>
    <row r="26" spans="1:16" x14ac:dyDescent="0.3">
      <c r="A26" s="27"/>
      <c r="B26" s="21" t="s">
        <v>47</v>
      </c>
      <c r="C26" s="64" t="s">
        <v>23</v>
      </c>
      <c r="D26" s="65">
        <v>42860</v>
      </c>
      <c r="E26" s="66">
        <v>0.33333333333333331</v>
      </c>
      <c r="F26" s="66">
        <v>0.70833333333333337</v>
      </c>
      <c r="G26" s="26">
        <v>0</v>
      </c>
      <c r="H26" s="25"/>
      <c r="L26" s="27"/>
      <c r="M26" s="76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76"/>
      <c r="N27" s="27"/>
      <c r="O27" s="27"/>
      <c r="P27" s="27"/>
    </row>
    <row r="28" spans="1:16" x14ac:dyDescent="0.3">
      <c r="A28" s="27"/>
      <c r="B28" s="17" t="s">
        <v>48</v>
      </c>
      <c r="C28" s="23" t="s">
        <v>15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76"/>
      <c r="N28" s="27"/>
      <c r="O28" s="27"/>
      <c r="P28" s="27"/>
    </row>
    <row r="29" spans="1:16" ht="16.5" customHeight="1" x14ac:dyDescent="0.3">
      <c r="A29" s="27"/>
      <c r="B29" s="22" t="s">
        <v>60</v>
      </c>
      <c r="C29" s="80" t="s">
        <v>65</v>
      </c>
      <c r="D29" s="78"/>
      <c r="E29" s="78"/>
      <c r="F29" s="79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76"/>
      <c r="N29" s="27"/>
      <c r="O29" s="27"/>
      <c r="P29" s="27"/>
    </row>
    <row r="30" spans="1:16" x14ac:dyDescent="0.3">
      <c r="A30" s="27"/>
      <c r="B30" s="17" t="s">
        <v>51</v>
      </c>
      <c r="C30" s="40" t="s">
        <v>15</v>
      </c>
      <c r="D30" s="36" t="s">
        <v>56</v>
      </c>
      <c r="E30" s="27"/>
      <c r="F30" s="27"/>
      <c r="G30" s="27"/>
      <c r="H30" s="27"/>
      <c r="L30" s="27"/>
      <c r="M30" s="76"/>
      <c r="N30" s="27"/>
      <c r="O30" s="27"/>
      <c r="P30" s="27"/>
    </row>
    <row r="31" spans="1:16" x14ac:dyDescent="0.3">
      <c r="A31" s="27"/>
      <c r="B31" s="22" t="s">
        <v>49</v>
      </c>
      <c r="C31" s="72"/>
      <c r="D31" s="72"/>
      <c r="E31" s="72"/>
      <c r="F31" s="72"/>
      <c r="G31" s="72"/>
      <c r="H31" s="72"/>
      <c r="I31" s="27"/>
      <c r="J31" s="27"/>
      <c r="K31" s="27"/>
      <c r="L31" s="27"/>
      <c r="M31" s="76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76"/>
      <c r="N32" s="27"/>
      <c r="O32" s="27"/>
      <c r="P32" s="27"/>
    </row>
    <row r="33" spans="1:16" x14ac:dyDescent="0.3">
      <c r="A33" s="27"/>
      <c r="B33" s="17" t="s">
        <v>42</v>
      </c>
      <c r="C33" s="41" t="s">
        <v>15</v>
      </c>
      <c r="D33" s="36" t="s">
        <v>57</v>
      </c>
      <c r="E33" s="27"/>
      <c r="F33" s="27"/>
      <c r="G33" s="27"/>
      <c r="H33" s="27"/>
      <c r="I33" s="27"/>
      <c r="J33" s="27"/>
      <c r="K33" s="27"/>
      <c r="L33" s="27"/>
      <c r="M33" s="76"/>
      <c r="N33" s="27"/>
      <c r="O33" s="27"/>
      <c r="P33" s="27"/>
    </row>
    <row r="34" spans="1:16" x14ac:dyDescent="0.3">
      <c r="A34" s="27"/>
      <c r="B34" s="22" t="s">
        <v>50</v>
      </c>
      <c r="C34" s="72"/>
      <c r="D34" s="72"/>
      <c r="E34" s="72"/>
      <c r="F34" s="72"/>
      <c r="G34" s="72"/>
      <c r="H34" s="72"/>
      <c r="I34" s="27"/>
      <c r="J34" s="27"/>
      <c r="K34" s="27"/>
      <c r="L34" s="27"/>
      <c r="M34" s="76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76"/>
      <c r="N35" s="27"/>
      <c r="O35" s="27"/>
      <c r="P35" s="27"/>
    </row>
    <row r="36" spans="1:16" ht="28" x14ac:dyDescent="0.3">
      <c r="A36" s="27"/>
      <c r="B36" s="43" t="s">
        <v>67</v>
      </c>
      <c r="C36" s="23" t="s">
        <v>100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8" x14ac:dyDescent="0.3">
      <c r="A38" s="27"/>
      <c r="B38" s="49" t="s">
        <v>70</v>
      </c>
      <c r="C38" s="77"/>
      <c r="D38" s="78"/>
      <c r="E38" s="78"/>
      <c r="F38" s="78"/>
      <c r="G38" s="78"/>
      <c r="H38" s="79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2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73" t="str">
        <f>M7</f>
        <v>GU/BO Info - Work Info Template v1.51
0. Ticketersteller E-Mail: max.mustermann@muster-bau.example
1. TEF Autragnehmer: Vodafone / Vantage
2. Anforderer: Muster Bau GmbH
2.1 Anlagenverantwortung:Nein
3. Baukoordinator: Mustermann Max / +49 171 1234567
4. Techniker vor Ort / Elektrofachkraft: Musterfrau Erika / +49 160 7654321
4.2 VEFK, Ansprechpartner GU / SUB:Mustermann Max / +49 171 1234567
5. Tätigkeit: ASI Abschaltung / Bitte Beschreiben den Bedarf von der Abschaltung Radio Tef-Antennen 
5.1 Tätigkeit Details: 
6. Betroffener Standort:120990497
6.1 Betroffene Services (NE’s/RiFus) numerisch: 
7. Zeitraum, wenn Ausfall über mehrere Tage:
16.11.2026 8:00-9:00 ca. 1 Std MINU | 
17.11.2026 8:00-9:00 ca. 1 Std MINU | 
18.11.2026 8:00-9:00 ca. 1 Std MINU | 
8. GU-BO Support: Nein
9. Telefónica BO Support: Nein
10. Field Force Support: Nein
11. BO Assigned Group falls AdPW und Techniker vor Ort: BAYFU-GU_00-Inbox / 
BAYFU-GU_00-Inbox
12. Sonstige Bemerkungen und/oder weitere Details:</v>
      </c>
      <c r="D41" s="74"/>
      <c r="E41" s="74"/>
      <c r="F41" s="74"/>
      <c r="G41" s="74"/>
      <c r="H41" s="75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41:H41"/>
    <mergeCell ref="M13:M35"/>
    <mergeCell ref="C34:H34"/>
    <mergeCell ref="C38:H38"/>
    <mergeCell ref="C29:F29"/>
    <mergeCell ref="C16:H16"/>
    <mergeCell ref="D13:H15"/>
    <mergeCell ref="C6:F6"/>
    <mergeCell ref="B2:M2"/>
    <mergeCell ref="C18:H18"/>
    <mergeCell ref="C31:H31"/>
    <mergeCell ref="C19:H19"/>
  </mergeCells>
  <conditionalFormatting sqref="B22:E24 H22:H24 B25:H26">
    <cfRule type="expression" dxfId="4" priority="7" stopIfTrue="1">
      <formula>$A20&gt;$C$21</formula>
    </cfRule>
  </conditionalFormatting>
  <conditionalFormatting sqref="D21">
    <cfRule type="containsText" dxfId="3" priority="13" stopIfTrue="1" operator="containsText" text="Pflichtfeld">
      <formula>NOT(ISERROR(SEARCH("Pflichtfeld",D21)))</formula>
    </cfRule>
  </conditionalFormatting>
  <conditionalFormatting sqref="D30">
    <cfRule type="expression" dxfId="2" priority="10" stopIfTrue="1">
      <formula>AND($C$30="Ja",$C$31="")</formula>
    </cfRule>
  </conditionalFormatting>
  <conditionalFormatting sqref="D33">
    <cfRule type="expression" dxfId="1" priority="9" stopIfTrue="1">
      <formula>AND($C$33="Ja",$C$34="")</formula>
    </cfRule>
  </conditionalFormatting>
  <conditionalFormatting sqref="F22:G24">
    <cfRule type="expression" dxfId="0" priority="1" stopIfTrue="1">
      <formula>$A20&gt;$C$18</formula>
    </cfRule>
  </conditionalFormatting>
  <dataValidations count="12">
    <dataValidation type="list" allowBlank="1" showInputMessage="1" showErrorMessage="1" sqref="C7" xr:uid="{E034274C-B55B-4A23-9E12-CB2DA7FDAB9E}">
      <formula1>GU7a</formula1>
    </dataValidation>
    <dataValidation type="list" allowBlank="1" showInputMessage="1" showErrorMessage="1" sqref="C10 C8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topLeftCell="T1" zoomScale="80" zoomScaleNormal="80" workbookViewId="0">
      <selection activeCell="AG5" sqref="AG5"/>
    </sheetView>
  </sheetViews>
  <sheetFormatPr baseColWidth="10" defaultRowHeight="14.5" x14ac:dyDescent="0.35"/>
  <cols>
    <col min="1" max="1" width="20.453125" customWidth="1"/>
    <col min="2" max="3" width="17" customWidth="1"/>
    <col min="4" max="4" width="14.81640625" customWidth="1"/>
    <col min="5" max="5" width="13.6328125" customWidth="1"/>
    <col min="6" max="6" width="3.36328125" customWidth="1"/>
    <col min="7" max="7" width="9.453125" customWidth="1"/>
    <col min="8" max="8" width="9.1796875" customWidth="1"/>
    <col min="9" max="9" width="15.81640625" customWidth="1"/>
    <col min="10" max="10" width="12" customWidth="1"/>
    <col min="11" max="18" width="19" customWidth="1"/>
    <col min="19" max="19" width="3.453125" customWidth="1"/>
    <col min="20" max="20" width="23.6328125" customWidth="1"/>
    <col min="21" max="21" width="109.1796875" customWidth="1"/>
    <col min="22" max="22" width="17.1796875" customWidth="1"/>
    <col min="23" max="23" width="3.36328125" customWidth="1"/>
    <col min="24" max="24" width="23" customWidth="1"/>
    <col min="25" max="25" width="3.36328125" customWidth="1"/>
    <col min="26" max="26" width="14" customWidth="1"/>
    <col min="27" max="27" width="57.36328125" customWidth="1"/>
    <col min="28" max="28" width="6.81640625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  <col min="35" max="35" width="23.36328125" customWidth="1"/>
  </cols>
  <sheetData>
    <row r="1" spans="1:33" ht="23.5" x14ac:dyDescent="0.55000000000000004">
      <c r="A1" s="87" t="s">
        <v>71</v>
      </c>
      <c r="B1" s="87"/>
      <c r="C1" s="87"/>
      <c r="D1" s="87"/>
      <c r="E1" s="87"/>
      <c r="G1" s="88" t="s">
        <v>74</v>
      </c>
      <c r="H1" s="88"/>
      <c r="I1" s="88"/>
    </row>
    <row r="3" spans="1:33" x14ac:dyDescent="0.35">
      <c r="A3" s="2" t="s">
        <v>9</v>
      </c>
      <c r="B3" s="4"/>
      <c r="C3" s="4"/>
      <c r="D3" s="4"/>
      <c r="E3" s="4"/>
      <c r="G3" s="5" t="s">
        <v>12</v>
      </c>
      <c r="H3" s="6"/>
      <c r="I3" s="6"/>
      <c r="J3" s="6"/>
      <c r="K3" s="12" t="s">
        <v>80</v>
      </c>
      <c r="L3" s="11"/>
      <c r="M3" s="11"/>
      <c r="N3" s="11"/>
      <c r="O3" s="62" t="s">
        <v>79</v>
      </c>
      <c r="P3" s="61"/>
      <c r="Q3" s="61"/>
      <c r="R3" s="61"/>
      <c r="T3" s="7" t="s">
        <v>29</v>
      </c>
      <c r="U3" s="7"/>
      <c r="V3" s="8"/>
      <c r="X3" s="7" t="s">
        <v>32</v>
      </c>
      <c r="Z3" s="13" t="s">
        <v>31</v>
      </c>
      <c r="AA3" s="13"/>
      <c r="AC3" s="44" t="s">
        <v>61</v>
      </c>
      <c r="AD3" s="44"/>
      <c r="AF3" s="47" t="s">
        <v>59</v>
      </c>
      <c r="AG3" s="47"/>
    </row>
    <row r="4" spans="1:33" x14ac:dyDescent="0.35">
      <c r="A4" s="2" t="s">
        <v>25</v>
      </c>
      <c r="B4" s="2" t="s">
        <v>26</v>
      </c>
      <c r="C4" s="2" t="s">
        <v>78</v>
      </c>
      <c r="D4" s="2" t="s">
        <v>10</v>
      </c>
      <c r="E4" s="2" t="s">
        <v>2</v>
      </c>
      <c r="G4" s="5" t="s">
        <v>1</v>
      </c>
      <c r="H4" s="5" t="s">
        <v>0</v>
      </c>
      <c r="I4" s="5" t="s">
        <v>4</v>
      </c>
      <c r="J4" s="5" t="s">
        <v>2</v>
      </c>
      <c r="K4" s="5" t="s">
        <v>1</v>
      </c>
      <c r="L4" s="5" t="s">
        <v>0</v>
      </c>
      <c r="M4" s="5" t="s">
        <v>4</v>
      </c>
      <c r="N4" s="59" t="s">
        <v>2</v>
      </c>
      <c r="O4" s="5" t="s">
        <v>1</v>
      </c>
      <c r="P4" s="5" t="s">
        <v>0</v>
      </c>
      <c r="Q4" s="5" t="s">
        <v>4</v>
      </c>
      <c r="R4" s="59" t="s">
        <v>2</v>
      </c>
      <c r="T4" s="7" t="s">
        <v>28</v>
      </c>
      <c r="U4" s="7" t="s">
        <v>68</v>
      </c>
      <c r="V4" s="7" t="s">
        <v>27</v>
      </c>
      <c r="X4" s="7" t="s">
        <v>16</v>
      </c>
      <c r="Z4" s="13" t="s">
        <v>6</v>
      </c>
      <c r="AA4" s="13" t="s">
        <v>7</v>
      </c>
      <c r="AC4" s="44" t="s">
        <v>0</v>
      </c>
      <c r="AD4" s="44" t="s">
        <v>2</v>
      </c>
      <c r="AF4" s="48" t="s">
        <v>62</v>
      </c>
      <c r="AG4" s="48" t="s">
        <v>63</v>
      </c>
    </row>
    <row r="5" spans="1:33" x14ac:dyDescent="0.35">
      <c r="A5" s="1" t="s">
        <v>86</v>
      </c>
      <c r="B5" s="1" t="s">
        <v>101</v>
      </c>
      <c r="C5" s="1" t="s">
        <v>14</v>
      </c>
      <c r="D5" s="1"/>
      <c r="E5" s="1"/>
      <c r="G5" s="1" t="s">
        <v>5</v>
      </c>
      <c r="H5" s="1" t="s">
        <v>3</v>
      </c>
      <c r="I5" s="1" t="str">
        <f>H5&amp;" "&amp;G5</f>
        <v>Bauleiter Simon</v>
      </c>
      <c r="J5" s="37" t="s">
        <v>58</v>
      </c>
      <c r="K5" s="1" t="s">
        <v>18</v>
      </c>
      <c r="L5" s="1" t="s">
        <v>17</v>
      </c>
      <c r="M5" s="1" t="str">
        <f>L5&amp;" "&amp;K5</f>
        <v>Techniker Manuel</v>
      </c>
      <c r="N5" s="60" t="s">
        <v>58</v>
      </c>
      <c r="O5" s="1" t="s">
        <v>5</v>
      </c>
      <c r="P5" s="1" t="s">
        <v>3</v>
      </c>
      <c r="Q5" s="1" t="str">
        <f>P5&amp;" "&amp;O5</f>
        <v>Bauleiter Simon</v>
      </c>
      <c r="R5" s="60" t="s">
        <v>58</v>
      </c>
      <c r="T5" s="9" t="s">
        <v>90</v>
      </c>
      <c r="U5" s="1" t="s">
        <v>91</v>
      </c>
      <c r="V5" s="1" t="s">
        <v>95</v>
      </c>
      <c r="X5" s="1" t="s">
        <v>14</v>
      </c>
      <c r="Z5" s="3" t="s">
        <v>19</v>
      </c>
      <c r="AA5" s="3" t="s">
        <v>20</v>
      </c>
      <c r="AC5" s="1" t="s">
        <v>66</v>
      </c>
      <c r="AD5" s="1"/>
      <c r="AF5" s="1" t="s">
        <v>100</v>
      </c>
      <c r="AG5" s="1" t="s">
        <v>100</v>
      </c>
    </row>
    <row r="6" spans="1:33" x14ac:dyDescent="0.35">
      <c r="A6" s="1" t="s">
        <v>87</v>
      </c>
      <c r="B6" s="1"/>
      <c r="C6" s="1" t="s">
        <v>15</v>
      </c>
      <c r="D6" s="1"/>
      <c r="E6" s="1"/>
      <c r="G6" s="1" t="s">
        <v>36</v>
      </c>
      <c r="H6" s="1" t="s">
        <v>37</v>
      </c>
      <c r="I6" s="1" t="str">
        <f>H6&amp;" "&amp;G6</f>
        <v>Mustermann Max</v>
      </c>
      <c r="J6" s="37" t="s">
        <v>112</v>
      </c>
      <c r="K6" s="1" t="s">
        <v>36</v>
      </c>
      <c r="L6" s="1" t="s">
        <v>37</v>
      </c>
      <c r="M6" s="1" t="str">
        <f>L6&amp;" "&amp;K6</f>
        <v>Mustermann Max</v>
      </c>
      <c r="N6" s="60" t="s">
        <v>112</v>
      </c>
      <c r="O6" s="1" t="s">
        <v>36</v>
      </c>
      <c r="P6" s="1" t="s">
        <v>37</v>
      </c>
      <c r="Q6" s="1" t="str">
        <f>P6&amp;" "&amp;O6</f>
        <v>Mustermann Max</v>
      </c>
      <c r="R6" s="60" t="s">
        <v>112</v>
      </c>
      <c r="T6" s="9" t="s">
        <v>92</v>
      </c>
      <c r="U6" s="1" t="s">
        <v>93</v>
      </c>
      <c r="V6" s="1"/>
      <c r="X6" s="1" t="s">
        <v>15</v>
      </c>
      <c r="Z6" t="s">
        <v>21</v>
      </c>
      <c r="AA6" t="s">
        <v>22</v>
      </c>
      <c r="AC6" s="1" t="s">
        <v>64</v>
      </c>
      <c r="AD6" s="1">
        <v>55555</v>
      </c>
      <c r="AF6" s="1"/>
      <c r="AG6" s="1"/>
    </row>
    <row r="7" spans="1:33" s="3" customFormat="1" x14ac:dyDescent="0.35">
      <c r="A7" s="1" t="s">
        <v>88</v>
      </c>
      <c r="B7" s="1"/>
      <c r="C7" s="1"/>
      <c r="D7" s="1"/>
      <c r="E7" s="1"/>
      <c r="F7"/>
      <c r="G7" s="1" t="s">
        <v>38</v>
      </c>
      <c r="H7" s="1" t="s">
        <v>39</v>
      </c>
      <c r="I7" s="1" t="str">
        <f>H7&amp;" "&amp;G7</f>
        <v>Müller Maxin</v>
      </c>
      <c r="J7" s="37" t="s">
        <v>58</v>
      </c>
      <c r="K7" s="1" t="s">
        <v>38</v>
      </c>
      <c r="L7" s="1" t="s">
        <v>39</v>
      </c>
      <c r="M7" s="1" t="str">
        <f>L7&amp;" "&amp;K7</f>
        <v>Müller Maxin</v>
      </c>
      <c r="N7" s="60" t="s">
        <v>58</v>
      </c>
      <c r="O7" s="1" t="s">
        <v>38</v>
      </c>
      <c r="P7" s="1" t="s">
        <v>39</v>
      </c>
      <c r="Q7" s="1" t="str">
        <f>P7&amp;" "&amp;O7</f>
        <v>Müller Maxin</v>
      </c>
      <c r="R7" s="60" t="s">
        <v>58</v>
      </c>
      <c r="S7"/>
      <c r="T7" s="9" t="s">
        <v>94</v>
      </c>
      <c r="U7" s="1" t="s">
        <v>93</v>
      </c>
      <c r="V7" s="1"/>
      <c r="X7" s="1"/>
      <c r="Z7" s="3" t="s">
        <v>34</v>
      </c>
      <c r="AA7" t="s">
        <v>35</v>
      </c>
      <c r="AC7" s="1" t="s">
        <v>65</v>
      </c>
      <c r="AD7" s="1">
        <v>55555</v>
      </c>
      <c r="AE7"/>
      <c r="AF7" s="1"/>
      <c r="AG7" s="1"/>
    </row>
    <row r="8" spans="1:33" x14ac:dyDescent="0.35">
      <c r="A8" s="1" t="s">
        <v>89</v>
      </c>
      <c r="B8" s="1"/>
      <c r="C8" s="1"/>
      <c r="D8" s="1"/>
      <c r="E8" s="1"/>
      <c r="G8" s="1" t="s">
        <v>102</v>
      </c>
      <c r="H8" s="1" t="s">
        <v>37</v>
      </c>
      <c r="I8" s="1" t="s">
        <v>103</v>
      </c>
      <c r="J8" s="37" t="s">
        <v>58</v>
      </c>
      <c r="K8" s="1" t="s">
        <v>109</v>
      </c>
      <c r="L8" s="1" t="s">
        <v>110</v>
      </c>
      <c r="M8" s="1" t="str">
        <f>L8&amp;" "&amp;K8</f>
        <v>Musterfrau Erika</v>
      </c>
      <c r="N8" s="60" t="s">
        <v>111</v>
      </c>
      <c r="O8" s="1"/>
      <c r="P8" s="1"/>
      <c r="Q8" s="1"/>
      <c r="R8" s="1"/>
      <c r="T8" s="9" t="s">
        <v>96</v>
      </c>
      <c r="U8" s="1" t="s">
        <v>97</v>
      </c>
      <c r="V8" s="1"/>
      <c r="X8" s="1"/>
      <c r="Z8" t="s">
        <v>33</v>
      </c>
      <c r="AA8" t="s">
        <v>33</v>
      </c>
      <c r="AC8" s="1"/>
      <c r="AD8" s="1"/>
      <c r="AF8" s="1"/>
      <c r="AG8" s="1"/>
    </row>
    <row r="9" spans="1:33" x14ac:dyDescent="0.35">
      <c r="A9" s="1" t="s">
        <v>104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/>
      <c r="X9" s="7" t="s">
        <v>30</v>
      </c>
      <c r="AC9" s="1"/>
      <c r="AD9" s="1"/>
      <c r="AF9" s="1"/>
      <c r="AG9" s="1"/>
    </row>
    <row r="10" spans="1:33" x14ac:dyDescent="0.35">
      <c r="A10" s="1" t="s">
        <v>98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/>
      <c r="X10" s="1">
        <v>0</v>
      </c>
      <c r="AC10" s="1"/>
      <c r="AD10" s="1"/>
      <c r="AF10" s="1"/>
      <c r="AG10" s="1"/>
    </row>
    <row r="11" spans="1:33" x14ac:dyDescent="0.35">
      <c r="A11" s="1" t="s">
        <v>99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/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/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/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f7c47-e68c-40c1-92e5-12c4d53c4823">
      <Terms xmlns="http://schemas.microsoft.com/office/infopath/2007/PartnerControls"/>
    </lcf76f155ced4ddcb4097134ff3c332f>
    <TaxCatchAll xmlns="9122c828-c794-4a05-beb7-17d1d1b3cb4c" xsi:nil="true"/>
    <Author0 xmlns="e2cf7c47-e68c-40c1-92e5-12c4d53c4823">
      <UserInfo>
        <DisplayName/>
        <AccountId xsi:nil="true"/>
        <AccountType/>
      </UserInfo>
    </Author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00C6F5BE2D754D9CA01AA925F4DC6F" ma:contentTypeVersion="20" ma:contentTypeDescription="Ein neues Dokument erstellen." ma:contentTypeScope="" ma:versionID="6bc615845df9e9314f238056bab10504">
  <xsd:schema xmlns:xsd="http://www.w3.org/2001/XMLSchema" xmlns:xs="http://www.w3.org/2001/XMLSchema" xmlns:p="http://schemas.microsoft.com/office/2006/metadata/properties" xmlns:ns2="e2cf7c47-e68c-40c1-92e5-12c4d53c4823" xmlns:ns3="9122c828-c794-4a05-beb7-17d1d1b3cb4c" targetNamespace="http://schemas.microsoft.com/office/2006/metadata/properties" ma:root="true" ma:fieldsID="72b2a5d4575e25f858d9a9259243beb2" ns2:_="" ns3:_="">
    <xsd:import namespace="e2cf7c47-e68c-40c1-92e5-12c4d53c4823"/>
    <xsd:import namespace="9122c828-c794-4a05-beb7-17d1d1b3c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uthor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7c47-e68c-40c1-92e5-12c4d53c4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18a899c-05fb-4218-8fd1-83abddaedd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26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2c828-c794-4a05-beb7-17d1d1b3cb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e924d0-06ee-4025-8d3e-b63ef6b9ff34}" ma:internalName="TaxCatchAll" ma:showField="CatchAllData" ma:web="9122c828-c794-4a05-beb7-17d1d1b3cb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BAE03-8D03-4A7E-B057-4F6038C3D914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9122c828-c794-4a05-beb7-17d1d1b3cb4c"/>
    <ds:schemaRef ds:uri="e2cf7c47-e68c-40c1-92e5-12c4d53c482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4964AA-4F85-4B2B-9F7E-3C39B2F06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C3A1D-3ADE-4135-8564-020B27383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7c47-e68c-40c1-92e5-12c4d53c4823"/>
    <ds:schemaRef ds:uri="9122c828-c794-4a05-beb7-17d1d1b3c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Fähling</dc:creator>
  <cp:lastModifiedBy>Dennis Sacher</cp:lastModifiedBy>
  <dcterms:created xsi:type="dcterms:W3CDTF">2012-10-18T13:12:59Z</dcterms:created>
  <dcterms:modified xsi:type="dcterms:W3CDTF">2026-10-20T09:47:31Z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0x0101002900C6F5BE2D754D9CA01AA925F4DC6F</vt:lpwstr>
  </property>
</Properties>
</file>