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Sacher\Desktop\Obsidian-Vault\02 Projekte\Bachelorarbeit\Testdurchläufe\"/>
    </mc:Choice>
  </mc:AlternateContent>
  <xr:revisionPtr revIDLastSave="0" documentId="13_ncr:1_{A4BA8F25-A4C8-42C1-AFFB-8CB1EDBF48EE}" xr6:coauthVersionLast="47" xr6:coauthVersionMax="47" xr10:uidLastSave="{00000000-0000-0000-0000-000000000000}"/>
  <bookViews>
    <workbookView xWindow="-110" yWindow="-110" windowWidth="34620" windowHeight="13900" firstSheet="1" activeTab="1" xr2:uid="{00000000-000D-0000-FFFF-FFFF00000000}"/>
  </bookViews>
  <sheets>
    <sheet name="Anleitung" sheetId="1" r:id="rId1"/>
    <sheet name="Testdaten" sheetId="2" r:id="rId2"/>
    <sheet name="Beobachtung TSM" sheetId="8" r:id="rId3"/>
    <sheet name="Durchläufe" sheetId="3" r:id="rId4"/>
    <sheet name="Fehler" sheetId="4" r:id="rId5"/>
    <sheet name="Datenqualität" sheetId="5" r:id="rId6"/>
    <sheet name="Befragung" sheetId="6" r:id="rId7"/>
    <sheet name="Auswertung"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7" l="1"/>
  <c r="Q6" i="3"/>
  <c r="Q10" i="3"/>
  <c r="Q14" i="3"/>
  <c r="Q22" i="3"/>
  <c r="Q24" i="3"/>
  <c r="D10" i="7"/>
  <c r="D8" i="7"/>
  <c r="B8" i="7"/>
  <c r="B9" i="7" s="1"/>
  <c r="G2" i="8"/>
  <c r="G3" i="8"/>
  <c r="G4" i="8"/>
  <c r="G5" i="8"/>
  <c r="G6" i="8"/>
  <c r="G7" i="8"/>
  <c r="G8" i="8"/>
  <c r="G9" i="8"/>
  <c r="G10" i="8"/>
  <c r="G11" i="8"/>
  <c r="G12" i="8"/>
  <c r="G13" i="8"/>
  <c r="G14" i="8"/>
  <c r="G15" i="8"/>
  <c r="G16" i="8"/>
  <c r="B9" i="2"/>
  <c r="B42" i="7"/>
  <c r="C39" i="7"/>
  <c r="B39" i="7"/>
  <c r="C38" i="7"/>
  <c r="B38" i="7"/>
  <c r="C37" i="7"/>
  <c r="B37" i="7"/>
  <c r="C36" i="7"/>
  <c r="B36" i="7"/>
  <c r="C35" i="7"/>
  <c r="B35" i="7"/>
  <c r="C34" i="7"/>
  <c r="B34" i="7"/>
  <c r="C33" i="7"/>
  <c r="B33" i="7"/>
  <c r="C29" i="7"/>
  <c r="B29" i="7"/>
  <c r="C28" i="7"/>
  <c r="B28" i="7"/>
  <c r="C27" i="7"/>
  <c r="B27" i="7"/>
  <c r="E241" i="5"/>
  <c r="E238" i="5"/>
  <c r="E237" i="5"/>
  <c r="E236" i="5"/>
  <c r="E235" i="5"/>
  <c r="E234" i="5"/>
  <c r="E233" i="5"/>
  <c r="E232" i="5"/>
  <c r="E231" i="5"/>
  <c r="E228" i="5"/>
  <c r="E227" i="5"/>
  <c r="E226" i="5"/>
  <c r="E225" i="5"/>
  <c r="E224" i="5"/>
  <c r="E223" i="5"/>
  <c r="E222" i="5"/>
  <c r="E218" i="5"/>
  <c r="E217" i="5"/>
  <c r="E216" i="5"/>
  <c r="E215" i="5"/>
  <c r="E214" i="5"/>
  <c r="E213" i="5"/>
  <c r="E212" i="5"/>
  <c r="E208" i="5"/>
  <c r="E207" i="5"/>
  <c r="E206" i="5"/>
  <c r="E205" i="5"/>
  <c r="E204" i="5"/>
  <c r="E203" i="5"/>
  <c r="E202" i="5"/>
  <c r="E198" i="5"/>
  <c r="E197" i="5"/>
  <c r="E196" i="5"/>
  <c r="E195" i="5"/>
  <c r="E194" i="5"/>
  <c r="E193" i="5"/>
  <c r="E192" i="5"/>
  <c r="E188" i="5"/>
  <c r="E187" i="5"/>
  <c r="E186" i="5"/>
  <c r="E185" i="5"/>
  <c r="E184" i="5"/>
  <c r="E183" i="5"/>
  <c r="E182" i="5"/>
  <c r="E178" i="5"/>
  <c r="E177" i="5"/>
  <c r="E176" i="5"/>
  <c r="E175" i="5"/>
  <c r="E174" i="5"/>
  <c r="E173" i="5"/>
  <c r="E168" i="5"/>
  <c r="E167" i="5"/>
  <c r="E166" i="5"/>
  <c r="E165" i="5"/>
  <c r="E164" i="5"/>
  <c r="E163" i="5"/>
  <c r="E158" i="5"/>
  <c r="E157" i="5"/>
  <c r="E156" i="5"/>
  <c r="E155" i="5"/>
  <c r="E154" i="5"/>
  <c r="E153" i="5"/>
  <c r="E148" i="5"/>
  <c r="E147" i="5"/>
  <c r="E146" i="5"/>
  <c r="E145" i="5"/>
  <c r="E144" i="5"/>
  <c r="E143" i="5"/>
  <c r="E138" i="5"/>
  <c r="E137" i="5"/>
  <c r="E136" i="5"/>
  <c r="E135" i="5"/>
  <c r="E134" i="5"/>
  <c r="E133" i="5"/>
  <c r="E132" i="5"/>
  <c r="E128" i="5"/>
  <c r="E127" i="5"/>
  <c r="E126" i="5"/>
  <c r="E125" i="5"/>
  <c r="E124" i="5"/>
  <c r="E123" i="5"/>
  <c r="E122" i="5"/>
  <c r="E121" i="5"/>
  <c r="E118" i="5"/>
  <c r="E117" i="5"/>
  <c r="E116" i="5"/>
  <c r="E115" i="5"/>
  <c r="E114" i="5"/>
  <c r="E113" i="5"/>
  <c r="E112" i="5"/>
  <c r="E111" i="5"/>
  <c r="E108" i="5"/>
  <c r="E107" i="5"/>
  <c r="E106" i="5"/>
  <c r="E105" i="5"/>
  <c r="E104" i="5"/>
  <c r="E103" i="5"/>
  <c r="E102" i="5"/>
  <c r="E98" i="5"/>
  <c r="E97" i="5"/>
  <c r="E96" i="5"/>
  <c r="E95" i="5"/>
  <c r="E94" i="5"/>
  <c r="E93" i="5"/>
  <c r="E92" i="5"/>
  <c r="E88" i="5"/>
  <c r="E87" i="5"/>
  <c r="E86" i="5"/>
  <c r="E85" i="5"/>
  <c r="E84" i="5"/>
  <c r="E83" i="5"/>
  <c r="E82" i="5"/>
  <c r="E78" i="5"/>
  <c r="E77" i="5"/>
  <c r="E76" i="5"/>
  <c r="E75" i="5"/>
  <c r="E74" i="5"/>
  <c r="E73" i="5"/>
  <c r="E72" i="5"/>
  <c r="E68" i="5"/>
  <c r="E67" i="5"/>
  <c r="E66" i="5"/>
  <c r="E65" i="5"/>
  <c r="E64" i="5"/>
  <c r="E63" i="5"/>
  <c r="E62" i="5"/>
  <c r="E58" i="5"/>
  <c r="E57" i="5"/>
  <c r="E56" i="5"/>
  <c r="E55" i="5"/>
  <c r="E54" i="5"/>
  <c r="E53" i="5"/>
  <c r="E48" i="5"/>
  <c r="E47" i="5"/>
  <c r="E46" i="5"/>
  <c r="E45" i="5"/>
  <c r="E44" i="5"/>
  <c r="E43" i="5"/>
  <c r="E38" i="5"/>
  <c r="E37" i="5"/>
  <c r="E36" i="5"/>
  <c r="E35" i="5"/>
  <c r="E34" i="5"/>
  <c r="E33" i="5"/>
  <c r="E28" i="5"/>
  <c r="E27" i="5"/>
  <c r="E26" i="5"/>
  <c r="E25" i="5"/>
  <c r="E24" i="5"/>
  <c r="E23" i="5"/>
  <c r="E18" i="5"/>
  <c r="E17" i="5"/>
  <c r="E16" i="5"/>
  <c r="E15" i="5"/>
  <c r="E14" i="5"/>
  <c r="E13" i="5"/>
  <c r="E12" i="5"/>
  <c r="E8" i="5"/>
  <c r="E7" i="5"/>
  <c r="E6" i="5"/>
  <c r="E5" i="5"/>
  <c r="E4" i="5"/>
  <c r="E3" i="5"/>
  <c r="E2" i="5"/>
  <c r="D199" i="4"/>
  <c r="C199" i="4"/>
  <c r="D198" i="4"/>
  <c r="C198" i="4"/>
  <c r="D197" i="4"/>
  <c r="C197" i="4"/>
  <c r="D196" i="4"/>
  <c r="C196" i="4"/>
  <c r="D195" i="4"/>
  <c r="C195" i="4"/>
  <c r="D194" i="4"/>
  <c r="C194" i="4"/>
  <c r="D193" i="4"/>
  <c r="C193" i="4"/>
  <c r="D192" i="4"/>
  <c r="C192" i="4"/>
  <c r="D191" i="4"/>
  <c r="C191" i="4"/>
  <c r="D190" i="4"/>
  <c r="C190" i="4"/>
  <c r="D189" i="4"/>
  <c r="C189" i="4"/>
  <c r="D188" i="4"/>
  <c r="C188" i="4"/>
  <c r="D187" i="4"/>
  <c r="C187" i="4"/>
  <c r="D186" i="4"/>
  <c r="C186" i="4"/>
  <c r="D185" i="4"/>
  <c r="C185" i="4"/>
  <c r="D184" i="4"/>
  <c r="C184" i="4"/>
  <c r="D183" i="4"/>
  <c r="C183" i="4"/>
  <c r="D182" i="4"/>
  <c r="C182" i="4"/>
  <c r="D181" i="4"/>
  <c r="C181" i="4"/>
  <c r="D180" i="4"/>
  <c r="C180" i="4"/>
  <c r="D179" i="4"/>
  <c r="C179" i="4"/>
  <c r="D178" i="4"/>
  <c r="C178" i="4"/>
  <c r="D177" i="4"/>
  <c r="C177" i="4"/>
  <c r="D176" i="4"/>
  <c r="C176" i="4"/>
  <c r="D175" i="4"/>
  <c r="C175" i="4"/>
  <c r="D174" i="4"/>
  <c r="C174" i="4"/>
  <c r="D173" i="4"/>
  <c r="C173" i="4"/>
  <c r="D172" i="4"/>
  <c r="C172" i="4"/>
  <c r="D171" i="4"/>
  <c r="C171" i="4"/>
  <c r="D170" i="4"/>
  <c r="C170" i="4"/>
  <c r="D169" i="4"/>
  <c r="C169" i="4"/>
  <c r="D168" i="4"/>
  <c r="C168" i="4"/>
  <c r="D167" i="4"/>
  <c r="C167" i="4"/>
  <c r="D166" i="4"/>
  <c r="C166" i="4"/>
  <c r="D165" i="4"/>
  <c r="C165" i="4"/>
  <c r="D164" i="4"/>
  <c r="C164" i="4"/>
  <c r="D163" i="4"/>
  <c r="C163" i="4"/>
  <c r="D162" i="4"/>
  <c r="C162" i="4"/>
  <c r="D161" i="4"/>
  <c r="C161" i="4"/>
  <c r="D160" i="4"/>
  <c r="C160" i="4"/>
  <c r="D159" i="4"/>
  <c r="C159" i="4"/>
  <c r="D158" i="4"/>
  <c r="C158" i="4"/>
  <c r="D157" i="4"/>
  <c r="C157" i="4"/>
  <c r="D156" i="4"/>
  <c r="C156" i="4"/>
  <c r="D155" i="4"/>
  <c r="C155" i="4"/>
  <c r="D154" i="4"/>
  <c r="C154" i="4"/>
  <c r="D153" i="4"/>
  <c r="C153" i="4"/>
  <c r="D152" i="4"/>
  <c r="C152" i="4"/>
  <c r="D151" i="4"/>
  <c r="C151" i="4"/>
  <c r="D150" i="4"/>
  <c r="C150" i="4"/>
  <c r="D149" i="4"/>
  <c r="C149" i="4"/>
  <c r="D148" i="4"/>
  <c r="C148" i="4"/>
  <c r="D147" i="4"/>
  <c r="C147" i="4"/>
  <c r="D146" i="4"/>
  <c r="C146" i="4"/>
  <c r="D145" i="4"/>
  <c r="C145" i="4"/>
  <c r="D144" i="4"/>
  <c r="C144" i="4"/>
  <c r="D143" i="4"/>
  <c r="C143" i="4"/>
  <c r="D142" i="4"/>
  <c r="C142" i="4"/>
  <c r="D141" i="4"/>
  <c r="C141" i="4"/>
  <c r="D140" i="4"/>
  <c r="C140" i="4"/>
  <c r="D139" i="4"/>
  <c r="C139" i="4"/>
  <c r="D138" i="4"/>
  <c r="C138" i="4"/>
  <c r="D137" i="4"/>
  <c r="C137" i="4"/>
  <c r="D136" i="4"/>
  <c r="C136" i="4"/>
  <c r="D135" i="4"/>
  <c r="C135" i="4"/>
  <c r="D134" i="4"/>
  <c r="C134" i="4"/>
  <c r="D133" i="4"/>
  <c r="C133" i="4"/>
  <c r="D132" i="4"/>
  <c r="C132" i="4"/>
  <c r="D131" i="4"/>
  <c r="C131" i="4"/>
  <c r="D130" i="4"/>
  <c r="C130" i="4"/>
  <c r="D129" i="4"/>
  <c r="C129" i="4"/>
  <c r="D128" i="4"/>
  <c r="C128" i="4"/>
  <c r="D127" i="4"/>
  <c r="C127" i="4"/>
  <c r="D126" i="4"/>
  <c r="C126" i="4"/>
  <c r="D125" i="4"/>
  <c r="C125" i="4"/>
  <c r="D124" i="4"/>
  <c r="C124" i="4"/>
  <c r="D123" i="4"/>
  <c r="C123" i="4"/>
  <c r="D122" i="4"/>
  <c r="C122" i="4"/>
  <c r="D121" i="4"/>
  <c r="C121" i="4"/>
  <c r="D120" i="4"/>
  <c r="C120" i="4"/>
  <c r="D119" i="4"/>
  <c r="C119" i="4"/>
  <c r="D118" i="4"/>
  <c r="C118" i="4"/>
  <c r="D117" i="4"/>
  <c r="C117" i="4"/>
  <c r="D116" i="4"/>
  <c r="C116" i="4"/>
  <c r="D115" i="4"/>
  <c r="C115" i="4"/>
  <c r="D114" i="4"/>
  <c r="C114" i="4"/>
  <c r="D113" i="4"/>
  <c r="C113" i="4"/>
  <c r="D112" i="4"/>
  <c r="C112" i="4"/>
  <c r="D111" i="4"/>
  <c r="C111" i="4"/>
  <c r="D110" i="4"/>
  <c r="C110" i="4"/>
  <c r="D109" i="4"/>
  <c r="C109" i="4"/>
  <c r="D108" i="4"/>
  <c r="C108" i="4"/>
  <c r="D107" i="4"/>
  <c r="C107" i="4"/>
  <c r="D106" i="4"/>
  <c r="C106" i="4"/>
  <c r="D105" i="4"/>
  <c r="C105" i="4"/>
  <c r="D104" i="4"/>
  <c r="C104" i="4"/>
  <c r="D103" i="4"/>
  <c r="C103" i="4"/>
  <c r="D102" i="4"/>
  <c r="C102" i="4"/>
  <c r="D101" i="4"/>
  <c r="C101" i="4"/>
  <c r="D100" i="4"/>
  <c r="C100" i="4"/>
  <c r="D99" i="4"/>
  <c r="C99" i="4"/>
  <c r="D98" i="4"/>
  <c r="C98" i="4"/>
  <c r="D97" i="4"/>
  <c r="C97" i="4"/>
  <c r="D96" i="4"/>
  <c r="C96" i="4"/>
  <c r="D95" i="4"/>
  <c r="C95" i="4"/>
  <c r="D94" i="4"/>
  <c r="C94" i="4"/>
  <c r="D93" i="4"/>
  <c r="C93" i="4"/>
  <c r="D92" i="4"/>
  <c r="C92" i="4"/>
  <c r="D91" i="4"/>
  <c r="C91" i="4"/>
  <c r="D90" i="4"/>
  <c r="C90" i="4"/>
  <c r="D89" i="4"/>
  <c r="C89" i="4"/>
  <c r="D88" i="4"/>
  <c r="C88" i="4"/>
  <c r="D87" i="4"/>
  <c r="C87" i="4"/>
  <c r="D86" i="4"/>
  <c r="C86" i="4"/>
  <c r="D85" i="4"/>
  <c r="C85" i="4"/>
  <c r="D84" i="4"/>
  <c r="C84" i="4"/>
  <c r="D83" i="4"/>
  <c r="C83" i="4"/>
  <c r="D82" i="4"/>
  <c r="C82" i="4"/>
  <c r="D81" i="4"/>
  <c r="C81" i="4"/>
  <c r="D80" i="4"/>
  <c r="C80" i="4"/>
  <c r="D79" i="4"/>
  <c r="C79" i="4"/>
  <c r="D78" i="4"/>
  <c r="C78" i="4"/>
  <c r="D77" i="4"/>
  <c r="C77" i="4"/>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C7" i="4"/>
  <c r="D6" i="4"/>
  <c r="C6" i="4"/>
  <c r="D5" i="4"/>
  <c r="C5" i="4"/>
  <c r="D4" i="4"/>
  <c r="C4" i="4"/>
  <c r="D3" i="4"/>
  <c r="C3" i="4"/>
  <c r="D2" i="4"/>
  <c r="C2" i="4"/>
  <c r="N25" i="3"/>
  <c r="K25" i="3"/>
  <c r="AA25" i="3" s="1"/>
  <c r="AA24" i="3"/>
  <c r="Z24" i="3"/>
  <c r="N24" i="3"/>
  <c r="K24" i="3"/>
  <c r="AB24" i="3" s="1"/>
  <c r="N23" i="3"/>
  <c r="K23" i="3"/>
  <c r="AC23" i="3" s="1"/>
  <c r="N22" i="3"/>
  <c r="K22" i="3"/>
  <c r="Z22" i="3" s="1"/>
  <c r="AC21" i="3"/>
  <c r="Z21" i="3"/>
  <c r="Y21" i="3"/>
  <c r="T21" i="3"/>
  <c r="N21" i="3"/>
  <c r="K21" i="3"/>
  <c r="AB21" i="3" s="1"/>
  <c r="N20" i="3"/>
  <c r="K20" i="3"/>
  <c r="AB20" i="3" s="1"/>
  <c r="Z19" i="3"/>
  <c r="Y19" i="3"/>
  <c r="N19" i="3"/>
  <c r="K19" i="3"/>
  <c r="AD19" i="3" s="1"/>
  <c r="N18" i="3"/>
  <c r="K18" i="3"/>
  <c r="AD18" i="3" s="1"/>
  <c r="N17" i="3"/>
  <c r="K17" i="3"/>
  <c r="AA17" i="3" s="1"/>
  <c r="N16" i="3"/>
  <c r="K16" i="3"/>
  <c r="AB16" i="3" s="1"/>
  <c r="AA15" i="3"/>
  <c r="N15" i="3"/>
  <c r="K15" i="3"/>
  <c r="AC15" i="3" s="1"/>
  <c r="N14" i="3"/>
  <c r="K14" i="3"/>
  <c r="Z14" i="3" s="1"/>
  <c r="N13" i="3"/>
  <c r="K13" i="3"/>
  <c r="AB13" i="3" s="1"/>
  <c r="AD12" i="3"/>
  <c r="N12" i="3"/>
  <c r="K12" i="3"/>
  <c r="AB12" i="3" s="1"/>
  <c r="N11" i="3"/>
  <c r="K11" i="3"/>
  <c r="AD11" i="3" s="1"/>
  <c r="N10" i="3"/>
  <c r="K10" i="3"/>
  <c r="AD10" i="3" s="1"/>
  <c r="N9" i="3"/>
  <c r="K9" i="3"/>
  <c r="AA9" i="3" s="1"/>
  <c r="N8" i="3"/>
  <c r="K8" i="3"/>
  <c r="AB8" i="3" s="1"/>
  <c r="N7" i="3"/>
  <c r="K7" i="3"/>
  <c r="AC7" i="3" s="1"/>
  <c r="AA6" i="3"/>
  <c r="N6" i="3"/>
  <c r="K6" i="3"/>
  <c r="Z6" i="3" s="1"/>
  <c r="N5" i="3"/>
  <c r="K5" i="3"/>
  <c r="AB5" i="3" s="1"/>
  <c r="N4" i="3"/>
  <c r="K4" i="3"/>
  <c r="AB4" i="3" s="1"/>
  <c r="N3" i="3"/>
  <c r="K3" i="3"/>
  <c r="AD3" i="3" s="1"/>
  <c r="N2" i="3"/>
  <c r="K2" i="3"/>
  <c r="AD2" i="3" s="1"/>
  <c r="C30" i="2"/>
  <c r="E240" i="5" s="1"/>
  <c r="B30" i="2"/>
  <c r="E119" i="5" s="1"/>
  <c r="C29" i="2"/>
  <c r="E100" i="5" s="1"/>
  <c r="B29" i="2"/>
  <c r="E219" i="5" s="1"/>
  <c r="C28" i="2"/>
  <c r="B28" i="2"/>
  <c r="C27" i="2"/>
  <c r="E70" i="5" s="1"/>
  <c r="B27" i="2"/>
  <c r="E79" i="5" s="1"/>
  <c r="C26" i="2"/>
  <c r="B26" i="2"/>
  <c r="C25" i="2"/>
  <c r="E60" i="5" s="1"/>
  <c r="B25" i="2"/>
  <c r="E59" i="5" s="1"/>
  <c r="C24" i="2"/>
  <c r="E40" i="5" s="1"/>
  <c r="B24" i="2"/>
  <c r="E39" i="5" s="1"/>
  <c r="C23" i="2"/>
  <c r="E130" i="5" s="1"/>
  <c r="B23" i="2"/>
  <c r="E139" i="5" s="1"/>
  <c r="Z11" i="3" l="1"/>
  <c r="Q18" i="3"/>
  <c r="Q2" i="3"/>
  <c r="Q25" i="3"/>
  <c r="Q17" i="3"/>
  <c r="Q9" i="3"/>
  <c r="Q16" i="3"/>
  <c r="Q8" i="3"/>
  <c r="AA12" i="3"/>
  <c r="Q23" i="3"/>
  <c r="Q15" i="3"/>
  <c r="Q7" i="3"/>
  <c r="Q21" i="3"/>
  <c r="Q13" i="3"/>
  <c r="Q5" i="3"/>
  <c r="Q20" i="3"/>
  <c r="Q12" i="3"/>
  <c r="Q4" i="3"/>
  <c r="AC4" i="3"/>
  <c r="AA19" i="3"/>
  <c r="AD4" i="3"/>
  <c r="Y11" i="3"/>
  <c r="Q19" i="3"/>
  <c r="Q11" i="3"/>
  <c r="Q3" i="3"/>
  <c r="AC5" i="3"/>
  <c r="T13" i="3"/>
  <c r="Z16" i="3"/>
  <c r="Z4" i="3"/>
  <c r="Y13" i="3"/>
  <c r="AA14" i="3"/>
  <c r="Y16" i="3"/>
  <c r="AA4" i="3"/>
  <c r="Z12" i="3"/>
  <c r="AC13" i="3"/>
  <c r="Y24" i="3"/>
  <c r="T14" i="3"/>
  <c r="E230" i="5"/>
  <c r="AC8" i="3"/>
  <c r="E239" i="5"/>
  <c r="AA11" i="3"/>
  <c r="AC12" i="3"/>
  <c r="Z13" i="3"/>
  <c r="Y14" i="3"/>
  <c r="AD15" i="3"/>
  <c r="AA16" i="3"/>
  <c r="T19" i="3"/>
  <c r="T24" i="3"/>
  <c r="AD8" i="3"/>
  <c r="AD5" i="3"/>
  <c r="T3" i="3"/>
  <c r="T8" i="3"/>
  <c r="AC20" i="3"/>
  <c r="Y22" i="3"/>
  <c r="AD23" i="3"/>
  <c r="E109" i="5"/>
  <c r="AD13" i="3"/>
  <c r="AD16" i="3"/>
  <c r="AA20" i="3"/>
  <c r="T22" i="3"/>
  <c r="AA23" i="3"/>
  <c r="Y3" i="3"/>
  <c r="T5" i="3"/>
  <c r="Y8" i="3"/>
  <c r="Y5" i="3"/>
  <c r="T6" i="3"/>
  <c r="AA7" i="3"/>
  <c r="Z8" i="3"/>
  <c r="AD20" i="3"/>
  <c r="AA22" i="3"/>
  <c r="AC24" i="3"/>
  <c r="E90" i="5"/>
  <c r="E120" i="5"/>
  <c r="AC16" i="3"/>
  <c r="Z20" i="3"/>
  <c r="Z3" i="3"/>
  <c r="AA3" i="3"/>
  <c r="Z5" i="3"/>
  <c r="Y6" i="3"/>
  <c r="AD7" i="3"/>
  <c r="AA8" i="3"/>
  <c r="T11" i="3"/>
  <c r="T16" i="3"/>
  <c r="AD21" i="3"/>
  <c r="AD24" i="3"/>
  <c r="E210" i="5"/>
  <c r="E220" i="5"/>
  <c r="E229" i="5"/>
  <c r="E9" i="5"/>
  <c r="E80" i="5"/>
  <c r="E89" i="5"/>
  <c r="E140" i="5"/>
  <c r="E149" i="5"/>
  <c r="AB22" i="3"/>
  <c r="E10" i="5"/>
  <c r="E99" i="5"/>
  <c r="E150" i="5"/>
  <c r="E159" i="5"/>
  <c r="B18" i="7"/>
  <c r="B21" i="7"/>
  <c r="Y2" i="3"/>
  <c r="AB3" i="3"/>
  <c r="AC6" i="3"/>
  <c r="T7" i="3"/>
  <c r="E8" i="7"/>
  <c r="AD9" i="3"/>
  <c r="Y10" i="3"/>
  <c r="AB11" i="3"/>
  <c r="AC14" i="3"/>
  <c r="T15" i="3"/>
  <c r="AD17" i="3"/>
  <c r="Y18" i="3"/>
  <c r="AB19" i="3"/>
  <c r="AC22" i="3"/>
  <c r="T23" i="3"/>
  <c r="AD25" i="3"/>
  <c r="E20" i="5"/>
  <c r="E29" i="5"/>
  <c r="E160" i="5"/>
  <c r="E169" i="5"/>
  <c r="AB9" i="3"/>
  <c r="AB17" i="3"/>
  <c r="AB25" i="3"/>
  <c r="T2" i="3"/>
  <c r="AB6" i="3"/>
  <c r="AC9" i="3"/>
  <c r="T10" i="3"/>
  <c r="AB14" i="3"/>
  <c r="AC17" i="3"/>
  <c r="T18" i="3"/>
  <c r="AC25" i="3"/>
  <c r="E19" i="5"/>
  <c r="C18" i="7"/>
  <c r="C21" i="7"/>
  <c r="Z2" i="3"/>
  <c r="AC3" i="3"/>
  <c r="T4" i="3"/>
  <c r="AA5" i="3"/>
  <c r="AD6" i="3"/>
  <c r="Y7" i="3"/>
  <c r="Z10" i="3"/>
  <c r="AC11" i="3"/>
  <c r="T12" i="3"/>
  <c r="AA13" i="3"/>
  <c r="AD14" i="3"/>
  <c r="Y15" i="3"/>
  <c r="Z18" i="3"/>
  <c r="AC19" i="3"/>
  <c r="T20" i="3"/>
  <c r="AA21" i="3"/>
  <c r="AD22" i="3"/>
  <c r="Y23" i="3"/>
  <c r="E30" i="5"/>
  <c r="E110" i="5"/>
  <c r="E170" i="5"/>
  <c r="E179" i="5"/>
  <c r="B19" i="7"/>
  <c r="B22" i="7"/>
  <c r="AA2" i="3"/>
  <c r="Y4" i="3"/>
  <c r="Z7" i="3"/>
  <c r="T9" i="3"/>
  <c r="AA10" i="3"/>
  <c r="Y12" i="3"/>
  <c r="Z15" i="3"/>
  <c r="T17" i="3"/>
  <c r="AA18" i="3"/>
  <c r="Y20" i="3"/>
  <c r="Z23" i="3"/>
  <c r="T25" i="3"/>
  <c r="E49" i="5"/>
  <c r="E180" i="5"/>
  <c r="E189" i="5"/>
  <c r="C19" i="7"/>
  <c r="C22" i="7"/>
  <c r="AB2" i="3"/>
  <c r="Y9" i="3"/>
  <c r="AB10" i="3"/>
  <c r="Y17" i="3"/>
  <c r="AB18" i="3"/>
  <c r="Y25" i="3"/>
  <c r="E50" i="5"/>
  <c r="E190" i="5"/>
  <c r="E199" i="5"/>
  <c r="B20" i="7"/>
  <c r="AC2" i="3"/>
  <c r="AB7" i="3"/>
  <c r="Z9" i="3"/>
  <c r="AC10" i="3"/>
  <c r="AB15" i="3"/>
  <c r="Z17" i="3"/>
  <c r="AC18" i="3"/>
  <c r="AB23" i="3"/>
  <c r="Z25" i="3"/>
  <c r="E69" i="5"/>
  <c r="E129" i="5"/>
  <c r="E200" i="5"/>
  <c r="E209" i="5"/>
  <c r="C20" i="7"/>
  <c r="C14" i="7" l="1"/>
  <c r="B14" i="7"/>
  <c r="C10" i="7"/>
  <c r="B6" i="7"/>
  <c r="C6" i="7"/>
  <c r="B7" i="7"/>
  <c r="C23" i="7"/>
  <c r="B10" i="7"/>
  <c r="C9" i="7"/>
  <c r="B23" i="7"/>
  <c r="C7" i="7"/>
  <c r="E9" i="7" l="1"/>
  <c r="D9" i="7"/>
  <c r="B43" i="7" s="1"/>
  <c r="B45" i="7" s="1"/>
  <c r="B44" i="7"/>
  <c r="B46" i="7" s="1"/>
  <c r="D6" i="7"/>
  <c r="E6" i="7"/>
  <c r="E7" i="7"/>
  <c r="D7" i="7"/>
</calcChain>
</file>

<file path=xl/sharedStrings.xml><?xml version="1.0" encoding="utf-8"?>
<sst xmlns="http://schemas.openxmlformats.org/spreadsheetml/2006/main" count="1132" uniqueCount="203">
  <si>
    <t>Protokoll Testdurchläufe AsiMiNu</t>
  </si>
  <si>
    <t>Zweck</t>
  </si>
  <si>
    <t>Hier werden alle Testdurchläufe alt (Excel und E-Mail) gegen neu (AsiMiNu-System) festgehalten. Die Testfälle stehen im Dokument „Testfälle Testdurchläufe.docx“.</t>
  </si>
  <si>
    <t>Gelbe Zellen</t>
  </si>
  <si>
    <t>Nur gelbe Zellen ausfüllen. Graue Zellen rechnen selbst und werden nicht überschrieben.</t>
  </si>
  <si>
    <t>Blattfolge</t>
  </si>
  <si>
    <t>Zeiten</t>
  </si>
  <si>
    <t>Wartezeiten</t>
  </si>
  <si>
    <t>Zeit, in der niemand arbeitet (z. B. bis zum nächsten Übertragungslauf), zählt nicht mit.</t>
  </si>
  <si>
    <t>Beispiel Durchläufe</t>
  </si>
  <si>
    <t>Beispiel Fehler</t>
  </si>
  <si>
    <t>Beispiel Datenqualität</t>
  </si>
  <si>
    <t>Durchlauf 7 | Techniker vor Ort Telefon | Soll +49 160 7654321 | Ist +49 160 7654321 | vorhanden ja | korrekt ja</t>
  </si>
  <si>
    <t>Personen</t>
  </si>
  <si>
    <t>Nur Kürzel (P1, P2 …) eintragen, keine Namen. Die Zuordnung Kürzel zu Person bleibt außerhalb dieser Datei.</t>
  </si>
  <si>
    <t>Eingriffe</t>
  </si>
  <si>
    <t>Muss der Versuchsleiter helfen oder etwas erklären, in der Spalte „Eingriff Versuchsleiter“ ja eintragen und in der Bemerkung beschreiben.</t>
  </si>
  <si>
    <t>Legende</t>
  </si>
  <si>
    <t>eingeben</t>
  </si>
  <si>
    <t>Zelle von Hand ausfüllen</t>
  </si>
  <si>
    <t>berechnet</t>
  </si>
  <si>
    <t>Formel, nicht überschreiben</t>
  </si>
  <si>
    <t>Testdaten (vor dem Termin ausfüllen)</t>
  </si>
  <si>
    <t>Testtag (erster Termin)</t>
  </si>
  <si>
    <t>Datum des ersten Testtermins. Alle Datumswerte unten rechnen sich daraus.</t>
  </si>
  <si>
    <t>Standortnummer, die die Automatik mit Konfiguration A zulässt. Muss in der Testumgebung vorhanden sein.</t>
  </si>
  <si>
    <t>Standort K (kritisch)</t>
  </si>
  <si>
    <t>Standortnummer mit Risikomerkmal, z. B. Alleinversorger oder Kategorie 3.</t>
  </si>
  <si>
    <t>AsiMiNu-Anfragen pro Monat</t>
  </si>
  <si>
    <t>Angabe der BayFu (Frage 4 der Mail). Für die Hochrechnung.</t>
  </si>
  <si>
    <t>Standortnummer mit Zahlendreher (TF 3)</t>
  </si>
  <si>
    <t>Gemeinsame Angaben aller Auftragskarten</t>
  </si>
  <si>
    <t>Auftraggeber</t>
  </si>
  <si>
    <t>Vodafone / Vantage</t>
  </si>
  <si>
    <t>Generalunternehmer</t>
  </si>
  <si>
    <t>Muster Bau GmbH</t>
  </si>
  <si>
    <t>Baukoordinator Name</t>
  </si>
  <si>
    <t>Max Mustermann</t>
  </si>
  <si>
    <t>Baukoordinator Telefon</t>
  </si>
  <si>
    <t>+49 171 1234567</t>
  </si>
  <si>
    <t>Techniker vor Ort Name</t>
  </si>
  <si>
    <t>Erika Musterfrau</t>
  </si>
  <si>
    <t>Techniker vor Ort Telefon</t>
  </si>
  <si>
    <t>+49 160 7654321</t>
  </si>
  <si>
    <t>Tätigkeit</t>
  </si>
  <si>
    <t>ASI Abschaltung</t>
  </si>
  <si>
    <t>Tätigkeit Details</t>
  </si>
  <si>
    <t>Antennentausch am Mast</t>
  </si>
  <si>
    <t>Zeiträume je Testfall (rechnen sich aus dem Testtag)</t>
  </si>
  <si>
    <t>Testfall</t>
  </si>
  <si>
    <t>Beginn</t>
  </si>
  <si>
    <t>Ende</t>
  </si>
  <si>
    <t>Hinweis</t>
  </si>
  <si>
    <t>TF 1</t>
  </si>
  <si>
    <t>Werktag, 60 Minuten SA-Dauer, Vorlauf über 72 Stunden</t>
  </si>
  <si>
    <t>TF 2</t>
  </si>
  <si>
    <t>wie TF 1, einen Werktag später</t>
  </si>
  <si>
    <t>TF 3</t>
  </si>
  <si>
    <t>wie TF 1, zwei Werktage später</t>
  </si>
  <si>
    <t>TF 4 ursprünglich</t>
  </si>
  <si>
    <t>drei Ausfalltage Mo bis Mi, vorab eingereicht</t>
  </si>
  <si>
    <t>TF 4 korrigiert (Soll)</t>
  </si>
  <si>
    <t>nur noch der Montag</t>
  </si>
  <si>
    <t>TF 5 ursprünglich</t>
  </si>
  <si>
    <t>Mo bis Mi, vorab eingereicht und übertragen</t>
  </si>
  <si>
    <t>TF 5 korrigiert (Soll)</t>
  </si>
  <si>
    <t>Di bis Do, überschneidet sich mit dem ursprünglichen Zeitraum</t>
  </si>
  <si>
    <t>TF 6</t>
  </si>
  <si>
    <t>zehn Kalendertage Mo bis Mi, Begründung nötig</t>
  </si>
  <si>
    <t>Begründung TF 6</t>
  </si>
  <si>
    <t>Austausch der gesamten Antennenanlage, Kran nur in diesem Zeitraum verfügbar</t>
  </si>
  <si>
    <t>Nr</t>
  </si>
  <si>
    <t>Durch-gang</t>
  </si>
  <si>
    <t>Weg</t>
  </si>
  <si>
    <t>Reihen-folge</t>
  </si>
  <si>
    <t>GU-Person</t>
  </si>
  <si>
    <t>CC-Person</t>
  </si>
  <si>
    <t>Datum</t>
  </si>
  <si>
    <t>Eingabe Start</t>
  </si>
  <si>
    <t>Eingabe Ende</t>
  </si>
  <si>
    <t>Eingabe [min]</t>
  </si>
  <si>
    <t>Prüfung Start</t>
  </si>
  <si>
    <t>Prüfung Ende</t>
  </si>
  <si>
    <t>Prüfung [min]</t>
  </si>
  <si>
    <t>Rückfrage nötig?</t>
  </si>
  <si>
    <t>Rückfrage [min]</t>
  </si>
  <si>
    <t>Abtippen [min]</t>
  </si>
  <si>
    <t>Gesamt [min]</t>
  </si>
  <si>
    <t>Ergebnis</t>
  </si>
  <si>
    <t>Konsistent?</t>
  </si>
  <si>
    <t>Fehler im End-ergebnis</t>
  </si>
  <si>
    <t>Eingriff Versuchs-leiter</t>
  </si>
  <si>
    <t>DB: Eingereicht</t>
  </si>
  <si>
    <t>DB: Validiert</t>
  </si>
  <si>
    <t>Bemerkung</t>
  </si>
  <si>
    <t>h Eingabe alt</t>
  </si>
  <si>
    <t>h Eingabe neu</t>
  </si>
  <si>
    <t>h Prüfung alt</t>
  </si>
  <si>
    <t>h Prüfung neu</t>
  </si>
  <si>
    <t>h Gesamt alt</t>
  </si>
  <si>
    <t>h Gesamt neu</t>
  </si>
  <si>
    <t>A</t>
  </si>
  <si>
    <t>alt</t>
  </si>
  <si>
    <t>neu</t>
  </si>
  <si>
    <t>TF 4</t>
  </si>
  <si>
    <t>TF 5</t>
  </si>
  <si>
    <t>B</t>
  </si>
  <si>
    <t>Durchlauf-Nr</t>
  </si>
  <si>
    <t>Fehler (Beschreibung)</t>
  </si>
  <si>
    <t>Dimension</t>
  </si>
  <si>
    <t>Eingebaut?</t>
  </si>
  <si>
    <t>Wo aufgefallen</t>
  </si>
  <si>
    <t>Im Endergebnis?</t>
  </si>
  <si>
    <t>Feld</t>
  </si>
  <si>
    <t>Soll</t>
  </si>
  <si>
    <t>Ist</t>
  </si>
  <si>
    <t>Vorhanden?</t>
  </si>
  <si>
    <t>Korrekt?</t>
  </si>
  <si>
    <t>Standortnummer</t>
  </si>
  <si>
    <t>Begründung</t>
  </si>
  <si>
    <t>–</t>
  </si>
  <si>
    <t>Person</t>
  </si>
  <si>
    <t>Rolle</t>
  </si>
  <si>
    <t>Aussage</t>
  </si>
  <si>
    <t>Alt (1–5)</t>
  </si>
  <si>
    <t>Neu (1–5)</t>
  </si>
  <si>
    <t>Kommentar</t>
  </si>
  <si>
    <t>P1</t>
  </si>
  <si>
    <t>Ich konnte die Anfrage ohne Umwege erfassen bzw. prüfen.</t>
  </si>
  <si>
    <t>Ich wusste jederzeit, was als Nächstes zu tun ist.</t>
  </si>
  <si>
    <t>Das Werkzeug hat sich so verhalten, wie ich es erwartet habe.</t>
  </si>
  <si>
    <t>Fehler in den Angaben wurden rechtzeitig und verständlich angezeigt.</t>
  </si>
  <si>
    <t>Ich hatte den Ablauf jederzeit unter Kontrolle.</t>
  </si>
  <si>
    <t>Ich kann nachvollziehen, was mit einer Anfrage passiert ist.</t>
  </si>
  <si>
    <t>Mit diesem Weg würde ich im Alltag gern arbeiten.</t>
  </si>
  <si>
    <t>Offene Frage: Was ist dir besonders aufgefallen? (Antwort in Spalte Kommentar)</t>
  </si>
  <si>
    <t>P2</t>
  </si>
  <si>
    <t>P3</t>
  </si>
  <si>
    <t>P4</t>
  </si>
  <si>
    <t>P5</t>
  </si>
  <si>
    <t>P6</t>
  </si>
  <si>
    <t>Skala: 1 = trifft gar nicht zu, 5 = trifft voll zu. Aussagen orientiert an DIN EN ISO 9241-110 (Aufgabenangemessenheit, Selbstbeschreibungsfähigkeit, Erwartungskonformität, Robustheit gegen Benutzungsfehler, Steuerbarkeit), Nr. 6 zur Prozesssicherheit.</t>
  </si>
  <si>
    <t>Auswertung für Abschnitt 6.3</t>
  </si>
  <si>
    <t>1. Bearbeitungszeit (Median in Minuten)</t>
  </si>
  <si>
    <t>Kennzahl</t>
  </si>
  <si>
    <t>neu (mit Schnittstelle)</t>
  </si>
  <si>
    <t>neu heute</t>
  </si>
  <si>
    <t>Veränderung alt → neu</t>
  </si>
  <si>
    <t>Eingabe GU</t>
  </si>
  <si>
    <t>Prüfung CC inkl. Rückfrage</t>
  </si>
  <si>
    <t>Abtippen ins TSM</t>
  </si>
  <si>
    <t>Gesamt je Anfrage</t>
  </si>
  <si>
    <t>Anzahl ausgewertete Durchläufe</t>
  </si>
  <si>
    <t>2. Fehlerquote (Anteil der Durchläufe mit Fehler im Endergebnis)</t>
  </si>
  <si>
    <t>Fehlerquote</t>
  </si>
  <si>
    <t>Wo wurden Fehler abgefangen? (Anzahl)</t>
  </si>
  <si>
    <t>Stelle</t>
  </si>
  <si>
    <t>Formular</t>
  </si>
  <si>
    <t>Server</t>
  </si>
  <si>
    <t>CC bei Prüfung</t>
  </si>
  <si>
    <t>AdHoc verworfen</t>
  </si>
  <si>
    <t>gar nicht</t>
  </si>
  <si>
    <t>Summe</t>
  </si>
  <si>
    <t>3. Datenqualität</t>
  </si>
  <si>
    <t>Vollständigkeit (Felder vorhanden)</t>
  </si>
  <si>
    <t>Korrektheit (Ist = Soll)</t>
  </si>
  <si>
    <t>Konsistenz (Durchläufe ohne Widerspruch)</t>
  </si>
  <si>
    <t>4. Zufriedenheit (Mittelwert, 1 bis 5)</t>
  </si>
  <si>
    <t>1. Ich konnte die Anfrage ohne Umwege erfassen bzw. prüfen.</t>
  </si>
  <si>
    <t>2. Ich wusste jederzeit, was als Nächstes zu tun ist.</t>
  </si>
  <si>
    <t>3. Das Werkzeug hat sich so verhalten, wie ich es erwartet habe.</t>
  </si>
  <si>
    <t>4. Fehler in den Angaben wurden rechtzeitig und verständlich angezeigt.</t>
  </si>
  <si>
    <t>5. Ich hatte den Ablauf jederzeit unter Kontrolle.</t>
  </si>
  <si>
    <t>6. Ich kann nachvollziehen, was mit einer Anfrage passiert ist.</t>
  </si>
  <si>
    <t>7. Mit diesem Weg würde ich im Alltag gern arbeiten.</t>
  </si>
  <si>
    <t>5. Hochrechnung</t>
  </si>
  <si>
    <t>Anfragen pro Monat (aus Testdaten)</t>
  </si>
  <si>
    <t>Ersparnis je Anfrage heute [min]</t>
  </si>
  <si>
    <t>Ersparnis je Anfrage mit Schnittstelle [min]</t>
  </si>
  <si>
    <t>Ersparnis pro Monat heute [h]</t>
  </si>
  <si>
    <t>Ersparnis pro Monat mit Schnittstelle [h]</t>
  </si>
  <si>
    <t>120990497</t>
  </si>
  <si>
    <t>Standort U1 (unkritisch, TF 1, TF 4, TF 5)</t>
  </si>
  <si>
    <t>Standort U2 (unkritisch, TF 2)</t>
  </si>
  <si>
    <t>Standort U3 (unkritisch, TF 3)</t>
  </si>
  <si>
    <t>Standortnummer, die die Automatik mit Konfiguration A zulässt. Muss in der Testumgebung vorhanden sein. Drei verschiedene Standorte, weil die Anomalieerkennung TF 1 bis TF 3 an einem Standort als Stückelung bzw. Häufung werten würde.</t>
  </si>
  <si>
    <t>Letzte zwei Ziffern von Standort U3 vertauscht. Nur für die Betreffzeile. Ergibt in der Testumgebung einen anderen, gültigen Standort.</t>
  </si>
  <si>
    <t>=Testdaten!$B$5</t>
  </si>
  <si>
    <t>=Testdaten!$B$6</t>
  </si>
  <si>
    <t>Ausfalltage der Anfrage</t>
  </si>
  <si>
    <t>Abtippen Start</t>
  </si>
  <si>
    <t>Abtippen Ende</t>
  </si>
  <si>
    <t>Abweichung TSM gegen Template?</t>
  </si>
  <si>
    <t>Art der Abweichung (ohne echte Daten)</t>
  </si>
  <si>
    <t>Vor dem Termin bei 5 bis 10 echten Anfragen zusehen, wie die CC-Person die Angaben aus dem Template ins TSM überträgt. Zeit vom ersten bis zum letzten Feld. Nur Kürzel, Uhrzeiten und Anzahlen eintragen, keine Standortnummern oder Namen.</t>
  </si>
  <si>
    <t>im Betrieb beobachtet (Blatt Beobachtung TSM), mit Schnittstelle entfällt das Abtippen</t>
  </si>
  <si>
    <t>Spalte „neu heute“: Zahl der beobachteten Übertragungen</t>
  </si>
  <si>
    <t>Alles berechnet. Bei kleiner Stichprobe Median statt Mittelwert. Das Abtippen ins TSM wird nicht im Test gemessen, sondern im Betrieb beobachtet (Blatt Beobachtung TSM). „alt“ und „neu heute“ enthalten diese Abtippzeit, „neu mit Schnittstelle“ nicht.</t>
  </si>
  <si>
    <t>Beobachtete Übertragungen mit Abweichung (TSM gegen Template)</t>
  </si>
  <si>
    <t>Uhrzeiten als hh:mm:ss eintragen (Stoppuhr oder Uhr am Laptop). Die Dauer in Minuten rechnet das Blatt.
Eingabe: vom Öffnen des Templates bzw. Formulars bis zum Klick auf Senden bzw. Absenden.
Prüfung: vom Öffnen der Mail bzw. Anfrage bis zur Entscheidung (validiert, abgelehnt, Rückfrage gestellt). Ohne Abtippen.
Rückfrage: Dauer der Klärung zwischen CC und GU in Minuten, direkt als Zahl.
Abtippen ins TSM: wird nicht im Test gemessen, sondern vor dem Termin im Betrieb beobachtet (Blatt Beobachtung TSM).</t>
  </si>
  <si>
    <t>Nr 7 | A | TF 2 | alt | 1 | P1 | P3 | 21.10.2026 | 10:02:10 | 10:06:45 | (4,6) | 10:07:00 | 10:12:30 | (5,5) | ja | 3,2 | … | übertragen | ja | … | nein | | | CC hat die fehlende Nummer bei der Prüfung bemerkt</t>
  </si>
  <si>
    <t>Nr 1 | Durchlauf 7 | (TF 2) | (alt) | Telefonnummer Techniker vor Ort fehlt | Vollständigkeit | ja | CC bei Prüfung | nein | Rückfrage per Telefon</t>
  </si>
  <si>
    <t>1. Testdaten: vor dem Termin Testtag, Standorte und Monatsvolumen eintragen.
2. Beobachtung TSM: vor dem Termin 5 bis 10 echte Übertragungen ins TSM beobachten (nur Kürzel, Zeiten, Anzahlen).
3. Durchläufe: eine Zeile je Testfall, Weg und Durchgang (schon vorbelegt).
4. Fehler: eine Zeile je Fehler.
5. Datenqualität: nach jedem Durchlauf Feld für Feld Soll gegen Ist (Ist: Template bzw. Anfrage im System).
6. Befragung: Antworten aus dem Fragebogen.
7. Auswertung: rechnet alles für Abschnitt 6.3 zusammen.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</si>
</sst>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dd\.mm\.yyyy\ hh:mm"/>
    <numFmt numFmtId="166" formatCode="dd\.mm\.yyyy\ hh:mm:ss"/>
    <numFmt numFmtId="167" formatCode="0.0"/>
    <numFmt numFmtId="168" formatCode="\+0%;\-0%;0%"/>
    <numFmt numFmtId="169" formatCode="\d\d\.mm/\y\y\y\y"/>
    <numFmt numFmtId="170" formatCode="#,#00"/>
  </numFmts>
  <fonts count="9" x14ac:knownFonts="1">
    <font>
      <sz val="11"/>
      <color theme="1"/>
      <name val="Calibri"/>
      <family val="2"/>
      <scheme val="minor"/>
    </font>
    <font>
      <b/>
      <sz val="14"/>
      <name val="Arial"/>
    </font>
    <font>
      <b/>
      <sz val="10"/>
      <name val="Arial"/>
    </font>
    <font>
      <sz val="10"/>
      <name val="Arial"/>
    </font>
    <font>
      <sz val="10"/>
      <color rgb="FF0000FF"/>
      <name val="Arial"/>
    </font>
    <font>
      <i/>
      <sz val="9"/>
      <color rgb="FF666666"/>
      <name val="Arial"/>
    </font>
    <font>
      <b/>
      <sz val="10"/>
      <color rgb="FFFFFFFF"/>
      <name val="Arial"/>
    </font>
    <font>
      <sz val="9"/>
      <color rgb="FF808080"/>
      <name val="Arial"/>
    </font>
    <font>
      <i/>
      <sz val="11"/>
      <color theme="1"/>
      <name val="Calibri"/>
      <family val="2"/>
      <scheme val="minor"/>
    </font>
  </fonts>
  <fills count="7">
    <fill>
      <patternFill patternType="none"/>
    </fill>
    <fill>
      <patternFill patternType="gray125"/>
    </fill>
    <fill>
      <patternFill patternType="solid">
        <fgColor rgb="FFFFF2CC"/>
      </patternFill>
    </fill>
    <fill>
      <patternFill patternType="solid">
        <fgColor rgb="FFF2F2F2"/>
      </patternFill>
    </fill>
    <fill>
      <patternFill patternType="solid">
        <fgColor rgb="FFD9E1F2"/>
      </patternFill>
    </fill>
    <fill>
      <patternFill patternType="solid">
        <fgColor rgb="FF2F5597"/>
      </patternFill>
    </fill>
    <fill>
      <patternFill patternType="solid">
        <fgColor theme="9" tint="0.79998168889431442"/>
        <bgColor theme="9" tint="0.79998168889431442"/>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0" fillId="2" borderId="0" xfId="0" applyFill="1"/>
    <xf numFmtId="0" fontId="3" fillId="0" borderId="0" xfId="0" applyFont="1"/>
    <xf numFmtId="0" fontId="0" fillId="3" borderId="0" xfId="0" applyFill="1"/>
    <xf numFmtId="0" fontId="2" fillId="0" borderId="1" xfId="0" applyFont="1" applyBorder="1"/>
    <xf numFmtId="164" fontId="4" fillId="2" borderId="1" xfId="0" applyNumberFormat="1" applyFont="1" applyFill="1" applyBorder="1"/>
    <xf numFmtId="0" fontId="5" fillId="0" borderId="0" xfId="0" applyFont="1" applyAlignment="1">
      <alignment vertical="top" wrapText="1"/>
    </xf>
    <xf numFmtId="49" fontId="4" fillId="2" borderId="1" xfId="0" applyNumberFormat="1" applyFont="1" applyFill="1" applyBorder="1"/>
    <xf numFmtId="0" fontId="3" fillId="3" borderId="1" xfId="0" applyFont="1" applyFill="1" applyBorder="1"/>
    <xf numFmtId="0" fontId="5" fillId="0" borderId="0" xfId="0" applyFont="1"/>
    <xf numFmtId="0" fontId="2" fillId="4" borderId="1" xfId="0" applyFont="1" applyFill="1" applyBorder="1"/>
    <xf numFmtId="0" fontId="3" fillId="0" borderId="1" xfId="0" applyFont="1" applyBorder="1"/>
    <xf numFmtId="0" fontId="6" fillId="5" borderId="1" xfId="0" applyFont="1" applyFill="1" applyBorder="1"/>
    <xf numFmtId="165" fontId="3" fillId="3" borderId="1" xfId="0" applyNumberFormat="1" applyFont="1" applyFill="1" applyBorder="1"/>
    <xf numFmtId="0" fontId="6" fillId="5" borderId="1" xfId="0" applyFont="1" applyFill="1" applyBorder="1" applyAlignment="1">
      <alignment vertical="center" wrapText="1"/>
    </xf>
    <xf numFmtId="0" fontId="4" fillId="2" borderId="1" xfId="0" applyFont="1" applyFill="1" applyBorder="1"/>
    <xf numFmtId="21" fontId="4" fillId="2" borderId="1" xfId="0" applyNumberFormat="1" applyFont="1" applyFill="1" applyBorder="1"/>
    <xf numFmtId="167" fontId="3" fillId="3" borderId="1" xfId="0" applyNumberFormat="1" applyFont="1" applyFill="1" applyBorder="1"/>
    <xf numFmtId="167" fontId="4" fillId="2" borderId="1" xfId="0" applyNumberFormat="1" applyFont="1" applyFill="1" applyBorder="1"/>
    <xf numFmtId="166" fontId="4" fillId="2" borderId="1" xfId="0" applyNumberFormat="1" applyFont="1" applyFill="1" applyBorder="1"/>
    <xf numFmtId="167" fontId="7" fillId="3" borderId="1" xfId="0" applyNumberFormat="1" applyFont="1" applyFill="1" applyBorder="1"/>
    <xf numFmtId="49" fontId="3" fillId="3" borderId="1" xfId="0" applyNumberFormat="1" applyFont="1" applyFill="1" applyBorder="1"/>
    <xf numFmtId="0" fontId="3" fillId="0" borderId="1" xfId="0" applyFont="1" applyBorder="1" applyAlignment="1">
      <alignment vertical="top" wrapText="1"/>
    </xf>
    <xf numFmtId="0" fontId="3" fillId="4" borderId="1" xfId="0" applyFont="1" applyFill="1" applyBorder="1"/>
    <xf numFmtId="168" fontId="3" fillId="3" borderId="1" xfId="0" applyNumberFormat="1" applyFont="1" applyFill="1" applyBorder="1"/>
    <xf numFmtId="167" fontId="2" fillId="3" borderId="1" xfId="0" applyNumberFormat="1" applyFont="1" applyFill="1" applyBorder="1"/>
    <xf numFmtId="9" fontId="3" fillId="3" borderId="1" xfId="0" applyNumberFormat="1" applyFont="1" applyFill="1" applyBorder="1"/>
    <xf numFmtId="0" fontId="2" fillId="3" borderId="1" xfId="0" applyFont="1" applyFill="1" applyBorder="1"/>
    <xf numFmtId="1" fontId="3" fillId="3" borderId="1" xfId="0" applyNumberFormat="1" applyFont="1" applyFill="1" applyBorder="1"/>
    <xf numFmtId="164" fontId="4" fillId="2" borderId="1" xfId="0" applyNumberFormat="1" applyFont="1" applyFill="1" applyBorder="1" applyAlignment="1">
      <alignment horizontal="left"/>
    </xf>
    <xf numFmtId="49" fontId="4" fillId="2" borderId="1" xfId="0" applyNumberFormat="1" applyFont="1" applyFill="1" applyBorder="1" applyAlignment="1">
      <alignment horizontal="left"/>
    </xf>
    <xf numFmtId="0" fontId="0" fillId="6" borderId="4" xfId="0" applyFill="1" applyBorder="1" applyAlignment="1">
      <alignment horizontal="left"/>
    </xf>
    <xf numFmtId="169" fontId="4" fillId="2" borderId="1" xfId="0" applyNumberFormat="1" applyFont="1" applyFill="1" applyBorder="1"/>
    <xf numFmtId="170" fontId="3" fillId="3" borderId="1" xfId="0" applyNumberFormat="1" applyFont="1" applyFill="1" applyBorder="1"/>
    <xf numFmtId="0" fontId="8" fillId="0" borderId="0" xfId="0" applyFont="1"/>
    <xf numFmtId="49" fontId="4" fillId="2" borderId="1" xfId="0" applyNumberFormat="1" applyFont="1" applyFill="1" applyBorder="1"/>
    <xf numFmtId="0" fontId="0" fillId="0" borderId="2" xfId="0" applyBorder="1"/>
    <xf numFmtId="0" fontId="0" fillId="0" borderId="3" xfId="0" applyBorder="1"/>
    <xf numFmtId="1" fontId="4" fillId="2" borderId="1" xfId="0" applyNumberFormat="1" applyFont="1" applyFill="1" applyBorder="1" applyAlignment="1">
      <alignment horizontal="lef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525"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798B8EA-24E6-AC45-9355-FD8AD84C07F3}">
  <we:reference id="wa104380862" version="3.0.0.0" store="de-DE" storeType="OMEX"/>
  <we:alternateReferences>
    <we:reference id="WA104380862" version="3.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A02594A0-9D7C-FC42-9071-7E079AB8F89A}">
  <we:reference id="wa200003696" version="1.3.0.0" store="de-DE"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election activeCell="H3" sqref="H3"/>
    </sheetView>
  </sheetViews>
  <sheetFormatPr baseColWidth="10" defaultColWidth="8.7265625" defaultRowHeight="14.5" x14ac:dyDescent="0.35"/>
  <cols>
    <col min="1" max="1" width="42.54296875" bestFit="1" customWidth="1"/>
    <col min="2" max="2" width="95" customWidth="1"/>
  </cols>
  <sheetData>
    <row r="1" spans="1:2" ht="18" x14ac:dyDescent="0.4">
      <c r="A1" s="1" t="s">
        <v>0</v>
      </c>
    </row>
    <row r="3" spans="1:2" ht="30" customHeight="1" x14ac:dyDescent="0.35">
      <c r="A3" s="2" t="s">
        <v>1</v>
      </c>
      <c r="B3" s="3" t="s">
        <v>2</v>
      </c>
    </row>
    <row r="4" spans="1:2" ht="15" customHeight="1" x14ac:dyDescent="0.35">
      <c r="A4" s="2" t="s">
        <v>3</v>
      </c>
      <c r="B4" s="3" t="s">
        <v>4</v>
      </c>
    </row>
    <row r="5" spans="1:2" ht="135" customHeight="1" x14ac:dyDescent="0.35">
      <c r="A5" s="2" t="s">
        <v>5</v>
      </c>
      <c r="B5" s="3" t="s">
        <v>202</v>
      </c>
    </row>
    <row r="6" spans="1:2" ht="150" customHeight="1" x14ac:dyDescent="0.35">
      <c r="A6" s="2" t="s">
        <v>6</v>
      </c>
      <c r="B6" s="3" t="s">
        <v>199</v>
      </c>
    </row>
    <row r="7" spans="1:2" ht="15" customHeight="1" x14ac:dyDescent="0.35">
      <c r="A7" s="2" t="s">
        <v>7</v>
      </c>
      <c r="B7" s="3" t="s">
        <v>8</v>
      </c>
    </row>
    <row r="8" spans="1:2" ht="45" customHeight="1" x14ac:dyDescent="0.35">
      <c r="A8" s="2" t="s">
        <v>9</v>
      </c>
      <c r="B8" s="3" t="s">
        <v>200</v>
      </c>
    </row>
    <row r="9" spans="1:2" ht="30" customHeight="1" x14ac:dyDescent="0.35">
      <c r="A9" s="2" t="s">
        <v>10</v>
      </c>
      <c r="B9" s="3" t="s">
        <v>201</v>
      </c>
    </row>
    <row r="10" spans="1:2" ht="30" customHeight="1" x14ac:dyDescent="0.35">
      <c r="A10" s="2" t="s">
        <v>11</v>
      </c>
      <c r="B10" s="3" t="s">
        <v>12</v>
      </c>
    </row>
    <row r="11" spans="1:2" ht="15" customHeight="1" x14ac:dyDescent="0.35">
      <c r="A11" s="2" t="s">
        <v>13</v>
      </c>
      <c r="B11" s="3" t="s">
        <v>14</v>
      </c>
    </row>
    <row r="12" spans="1:2" ht="30" customHeight="1" x14ac:dyDescent="0.35">
      <c r="A12" s="2" t="s">
        <v>15</v>
      </c>
      <c r="B12" s="3" t="s">
        <v>16</v>
      </c>
    </row>
    <row r="14" spans="1:2" x14ac:dyDescent="0.35">
      <c r="A14" s="2" t="s">
        <v>17</v>
      </c>
    </row>
    <row r="15" spans="1:2" x14ac:dyDescent="0.35">
      <c r="A15" s="4" t="s">
        <v>18</v>
      </c>
      <c r="B15" s="5" t="s">
        <v>19</v>
      </c>
    </row>
    <row r="16" spans="1:2" x14ac:dyDescent="0.35">
      <c r="A16" s="6" t="s">
        <v>20</v>
      </c>
      <c r="B16" s="5"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tabSelected="1" workbookViewId="0">
      <selection activeCell="B8" sqref="B8"/>
    </sheetView>
  </sheetViews>
  <sheetFormatPr baseColWidth="10" defaultColWidth="8.7265625" defaultRowHeight="14.5" x14ac:dyDescent="0.35"/>
  <cols>
    <col min="1" max="1" width="44" customWidth="1"/>
    <col min="2" max="3" width="24" customWidth="1"/>
    <col min="4" max="4" width="60" customWidth="1"/>
  </cols>
  <sheetData>
    <row r="1" spans="1:4" ht="18" x14ac:dyDescent="0.4">
      <c r="A1" s="1" t="s">
        <v>22</v>
      </c>
    </row>
    <row r="3" spans="1:4" x14ac:dyDescent="0.35">
      <c r="A3" s="7" t="s">
        <v>23</v>
      </c>
      <c r="B3" s="32">
        <v>46314</v>
      </c>
      <c r="D3" s="9" t="s">
        <v>24</v>
      </c>
    </row>
    <row r="4" spans="1:4" ht="48" x14ac:dyDescent="0.35">
      <c r="A4" s="7" t="s">
        <v>182</v>
      </c>
      <c r="B4" s="33" t="s">
        <v>181</v>
      </c>
      <c r="D4" s="9" t="s">
        <v>185</v>
      </c>
    </row>
    <row r="5" spans="1:4" ht="24" x14ac:dyDescent="0.35">
      <c r="A5" s="7" t="s">
        <v>183</v>
      </c>
      <c r="B5" s="33">
        <v>120990539</v>
      </c>
      <c r="D5" s="9" t="s">
        <v>25</v>
      </c>
    </row>
    <row r="6" spans="1:4" ht="24" x14ac:dyDescent="0.35">
      <c r="A6" s="7" t="s">
        <v>184</v>
      </c>
      <c r="B6" s="33">
        <v>121990047</v>
      </c>
      <c r="D6" s="9" t="s">
        <v>25</v>
      </c>
    </row>
    <row r="7" spans="1:4" x14ac:dyDescent="0.35">
      <c r="A7" s="7" t="s">
        <v>26</v>
      </c>
      <c r="B7" s="34">
        <v>120990686</v>
      </c>
      <c r="D7" s="9" t="s">
        <v>27</v>
      </c>
    </row>
    <row r="8" spans="1:4" x14ac:dyDescent="0.35">
      <c r="A8" s="7" t="s">
        <v>28</v>
      </c>
      <c r="B8" s="41">
        <v>256</v>
      </c>
      <c r="D8" s="9" t="s">
        <v>29</v>
      </c>
    </row>
    <row r="9" spans="1:4" x14ac:dyDescent="0.35">
      <c r="A9" s="7" t="s">
        <v>30</v>
      </c>
      <c r="B9" s="11" t="str">
        <f>IF(LEN(B6)&lt;2,"",LEFT(B6,LEN(B6)-2)&amp;MID(B6,LEN(B6),1)&amp;MID(B6,LEN(B6)-1,1))</f>
        <v>121990074</v>
      </c>
      <c r="D9" s="12" t="s">
        <v>186</v>
      </c>
    </row>
    <row r="11" spans="1:4" x14ac:dyDescent="0.35">
      <c r="A11" s="13" t="s">
        <v>31</v>
      </c>
    </row>
    <row r="12" spans="1:4" x14ac:dyDescent="0.35">
      <c r="A12" s="14" t="s">
        <v>32</v>
      </c>
      <c r="B12" s="10" t="s">
        <v>33</v>
      </c>
    </row>
    <row r="13" spans="1:4" x14ac:dyDescent="0.35">
      <c r="A13" s="14" t="s">
        <v>34</v>
      </c>
      <c r="B13" s="10" t="s">
        <v>35</v>
      </c>
    </row>
    <row r="14" spans="1:4" x14ac:dyDescent="0.35">
      <c r="A14" s="14" t="s">
        <v>36</v>
      </c>
      <c r="B14" s="10" t="s">
        <v>37</v>
      </c>
    </row>
    <row r="15" spans="1:4" x14ac:dyDescent="0.35">
      <c r="A15" s="14" t="s">
        <v>38</v>
      </c>
      <c r="B15" s="10" t="s">
        <v>39</v>
      </c>
    </row>
    <row r="16" spans="1:4" x14ac:dyDescent="0.35">
      <c r="A16" s="14" t="s">
        <v>40</v>
      </c>
      <c r="B16" s="10" t="s">
        <v>41</v>
      </c>
    </row>
    <row r="17" spans="1:4" x14ac:dyDescent="0.35">
      <c r="A17" s="14" t="s">
        <v>42</v>
      </c>
      <c r="B17" s="10" t="s">
        <v>43</v>
      </c>
    </row>
    <row r="18" spans="1:4" x14ac:dyDescent="0.35">
      <c r="A18" s="14" t="s">
        <v>44</v>
      </c>
      <c r="B18" s="10" t="s">
        <v>45</v>
      </c>
    </row>
    <row r="19" spans="1:4" x14ac:dyDescent="0.35">
      <c r="A19" s="14" t="s">
        <v>46</v>
      </c>
      <c r="B19" s="10" t="s">
        <v>47</v>
      </c>
    </row>
    <row r="21" spans="1:4" x14ac:dyDescent="0.35">
      <c r="A21" s="13" t="s">
        <v>48</v>
      </c>
    </row>
    <row r="22" spans="1:4" x14ac:dyDescent="0.35">
      <c r="A22" s="15" t="s">
        <v>49</v>
      </c>
      <c r="B22" s="15" t="s">
        <v>50</v>
      </c>
      <c r="C22" s="15" t="s">
        <v>51</v>
      </c>
      <c r="D22" s="15" t="s">
        <v>52</v>
      </c>
    </row>
    <row r="23" spans="1:4" x14ac:dyDescent="0.35">
      <c r="A23" s="14" t="s">
        <v>53</v>
      </c>
      <c r="B23" s="16">
        <f>WORKDAY($B$3,5)+TIME(8,0,0)</f>
        <v>46321.333333333336</v>
      </c>
      <c r="C23" s="16">
        <f>WORKDAY($B$3,5)+TIME(9,0,0)</f>
        <v>46321.375</v>
      </c>
      <c r="D23" s="12" t="s">
        <v>54</v>
      </c>
    </row>
    <row r="24" spans="1:4" x14ac:dyDescent="0.35">
      <c r="A24" s="14" t="s">
        <v>55</v>
      </c>
      <c r="B24" s="16">
        <f>WORKDAY($B$3,6)+TIME(8,0,0)</f>
        <v>46322.333333333336</v>
      </c>
      <c r="C24" s="16">
        <f>WORKDAY($B$3,6)+TIME(9,0,0)</f>
        <v>46322.375</v>
      </c>
      <c r="D24" s="12" t="s">
        <v>56</v>
      </c>
    </row>
    <row r="25" spans="1:4" x14ac:dyDescent="0.35">
      <c r="A25" s="14" t="s">
        <v>57</v>
      </c>
      <c r="B25" s="16">
        <f>WORKDAY($B$3,7)+TIME(8,0,0)</f>
        <v>46323.333333333336</v>
      </c>
      <c r="C25" s="16">
        <f>WORKDAY($B$3,7)+TIME(9,0,0)</f>
        <v>46323.375</v>
      </c>
      <c r="D25" s="12" t="s">
        <v>58</v>
      </c>
    </row>
    <row r="26" spans="1:4" x14ac:dyDescent="0.35">
      <c r="A26" s="14" t="s">
        <v>59</v>
      </c>
      <c r="B26" s="16">
        <f>($B$3-WEEKDAY($B$3,2)+22)+TIME(8,0,0)</f>
        <v>46335.333333333336</v>
      </c>
      <c r="C26" s="16">
        <f>($B$3-WEEKDAY($B$3,2)+22)+2+TIME(9,0,0)</f>
        <v>46337.375</v>
      </c>
      <c r="D26" s="12" t="s">
        <v>60</v>
      </c>
    </row>
    <row r="27" spans="1:4" x14ac:dyDescent="0.35">
      <c r="A27" s="14" t="s">
        <v>61</v>
      </c>
      <c r="B27" s="16">
        <f>($B$3-WEEKDAY($B$3,2)+22)+TIME(8,0,0)</f>
        <v>46335.333333333336</v>
      </c>
      <c r="C27" s="16">
        <f>($B$3-WEEKDAY($B$3,2)+22)+TIME(9,0,0)</f>
        <v>46335.375</v>
      </c>
      <c r="D27" s="12" t="s">
        <v>62</v>
      </c>
    </row>
    <row r="28" spans="1:4" x14ac:dyDescent="0.35">
      <c r="A28" s="14" t="s">
        <v>63</v>
      </c>
      <c r="B28" s="16">
        <f>($B$3-WEEKDAY($B$3,2)+29)+TIME(8,0,0)</f>
        <v>46342.333333333336</v>
      </c>
      <c r="C28" s="16">
        <f>($B$3-WEEKDAY($B$3,2)+29)+2+TIME(9,0,0)</f>
        <v>46344.375</v>
      </c>
      <c r="D28" s="12" t="s">
        <v>64</v>
      </c>
    </row>
    <row r="29" spans="1:4" x14ac:dyDescent="0.35">
      <c r="A29" s="14" t="s">
        <v>65</v>
      </c>
      <c r="B29" s="16">
        <f>($B$3-WEEKDAY($B$3,2)+29)+1+TIME(8,0,0)</f>
        <v>46343.333333333336</v>
      </c>
      <c r="C29" s="16">
        <f>($B$3-WEEKDAY($B$3,2)+29)+3+TIME(9,0,0)</f>
        <v>46345.375</v>
      </c>
      <c r="D29" s="12" t="s">
        <v>66</v>
      </c>
    </row>
    <row r="30" spans="1:4" x14ac:dyDescent="0.35">
      <c r="A30" s="14" t="s">
        <v>67</v>
      </c>
      <c r="B30" s="16">
        <f>($B$3-WEEKDAY($B$3,2)+22)+TIME(8,0,0)</f>
        <v>46335.333333333336</v>
      </c>
      <c r="C30" s="16">
        <f>($B$3-WEEKDAY($B$3,2)+22)+9+TIME(17,0,0)</f>
        <v>46344.708333333336</v>
      </c>
      <c r="D30" s="12" t="s">
        <v>68</v>
      </c>
    </row>
    <row r="32" spans="1:4" x14ac:dyDescent="0.35">
      <c r="A32" s="7" t="s">
        <v>69</v>
      </c>
      <c r="B32" s="38" t="s">
        <v>70</v>
      </c>
      <c r="C32" s="39"/>
      <c r="D32" s="40"/>
    </row>
  </sheetData>
  <mergeCells count="1">
    <mergeCell ref="B32:D3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821B6-628D-4BF4-89D9-E98D8C4164B2}">
  <dimension ref="A1:J18"/>
  <sheetViews>
    <sheetView workbookViewId="0">
      <selection activeCell="A2" sqref="A2:A16"/>
    </sheetView>
  </sheetViews>
  <sheetFormatPr baseColWidth="10" defaultRowHeight="14.5" x14ac:dyDescent="0.35"/>
  <cols>
    <col min="1" max="1" width="6.6328125" customWidth="1"/>
    <col min="2" max="2" width="12.6328125" customWidth="1"/>
    <col min="3" max="3" width="11.6328125" customWidth="1"/>
    <col min="4" max="4" width="12.6328125" customWidth="1"/>
    <col min="5" max="6" width="11.6328125" customWidth="1"/>
    <col min="7" max="7" width="10.6328125" customWidth="1"/>
    <col min="8" max="8" width="16.6328125" customWidth="1"/>
    <col min="9" max="10" width="30.6328125" customWidth="1"/>
  </cols>
  <sheetData>
    <row r="1" spans="1:10" ht="65" x14ac:dyDescent="0.35">
      <c r="A1" s="17" t="s">
        <v>71</v>
      </c>
      <c r="B1" s="17" t="s">
        <v>77</v>
      </c>
      <c r="C1" s="17" t="s">
        <v>76</v>
      </c>
      <c r="D1" s="17" t="s">
        <v>189</v>
      </c>
      <c r="E1" s="17" t="s">
        <v>190</v>
      </c>
      <c r="F1" s="17" t="s">
        <v>191</v>
      </c>
      <c r="G1" s="17" t="s">
        <v>86</v>
      </c>
      <c r="H1" s="17" t="s">
        <v>192</v>
      </c>
      <c r="I1" s="17" t="s">
        <v>193</v>
      </c>
      <c r="J1" s="17" t="s">
        <v>94</v>
      </c>
    </row>
    <row r="2" spans="1:10" x14ac:dyDescent="0.35">
      <c r="A2" s="14">
        <v>1</v>
      </c>
      <c r="B2" s="35"/>
      <c r="C2" s="19"/>
      <c r="D2" s="19"/>
      <c r="E2" s="19"/>
      <c r="F2" s="19"/>
      <c r="G2" s="36" t="str">
        <f t="shared" ref="G2:G16" si="0">IF(OR(E2="",F2=""),"",ROUND((F2-E2)*1440,1))</f>
        <v/>
      </c>
      <c r="H2" s="19"/>
      <c r="I2" s="19"/>
      <c r="J2" s="19"/>
    </row>
    <row r="3" spans="1:10" x14ac:dyDescent="0.35">
      <c r="A3" s="14">
        <v>2</v>
      </c>
      <c r="B3" s="35"/>
      <c r="C3" s="19"/>
      <c r="D3" s="19"/>
      <c r="E3" s="19"/>
      <c r="F3" s="19"/>
      <c r="G3" s="36" t="str">
        <f t="shared" si="0"/>
        <v/>
      </c>
      <c r="H3" s="19"/>
      <c r="I3" s="19"/>
      <c r="J3" s="19"/>
    </row>
    <row r="4" spans="1:10" x14ac:dyDescent="0.35">
      <c r="A4" s="14">
        <v>3</v>
      </c>
      <c r="B4" s="35"/>
      <c r="C4" s="19"/>
      <c r="D4" s="19"/>
      <c r="E4" s="19"/>
      <c r="F4" s="19"/>
      <c r="G4" s="36" t="str">
        <f t="shared" si="0"/>
        <v/>
      </c>
      <c r="H4" s="19"/>
      <c r="I4" s="19"/>
      <c r="J4" s="19"/>
    </row>
    <row r="5" spans="1:10" x14ac:dyDescent="0.35">
      <c r="A5" s="14">
        <v>4</v>
      </c>
      <c r="B5" s="35"/>
      <c r="C5" s="19"/>
      <c r="D5" s="19"/>
      <c r="E5" s="19"/>
      <c r="F5" s="19"/>
      <c r="G5" s="36" t="str">
        <f t="shared" si="0"/>
        <v/>
      </c>
      <c r="H5" s="19"/>
      <c r="I5" s="19"/>
      <c r="J5" s="19"/>
    </row>
    <row r="6" spans="1:10" x14ac:dyDescent="0.35">
      <c r="A6" s="14">
        <v>5</v>
      </c>
      <c r="B6" s="35"/>
      <c r="C6" s="19"/>
      <c r="D6" s="19"/>
      <c r="E6" s="19"/>
      <c r="F6" s="19"/>
      <c r="G6" s="36" t="str">
        <f t="shared" si="0"/>
        <v/>
      </c>
      <c r="H6" s="19"/>
      <c r="I6" s="19"/>
      <c r="J6" s="19"/>
    </row>
    <row r="7" spans="1:10" x14ac:dyDescent="0.35">
      <c r="A7" s="14">
        <v>6</v>
      </c>
      <c r="B7" s="35"/>
      <c r="C7" s="19"/>
      <c r="D7" s="19"/>
      <c r="E7" s="19"/>
      <c r="F7" s="19"/>
      <c r="G7" s="36" t="str">
        <f t="shared" si="0"/>
        <v/>
      </c>
      <c r="H7" s="19"/>
      <c r="I7" s="19"/>
      <c r="J7" s="19"/>
    </row>
    <row r="8" spans="1:10" x14ac:dyDescent="0.35">
      <c r="A8" s="14">
        <v>7</v>
      </c>
      <c r="B8" s="35"/>
      <c r="C8" s="19"/>
      <c r="D8" s="19"/>
      <c r="E8" s="19"/>
      <c r="F8" s="19"/>
      <c r="G8" s="36" t="str">
        <f t="shared" si="0"/>
        <v/>
      </c>
      <c r="H8" s="19"/>
      <c r="I8" s="19"/>
      <c r="J8" s="19"/>
    </row>
    <row r="9" spans="1:10" x14ac:dyDescent="0.35">
      <c r="A9" s="14">
        <v>8</v>
      </c>
      <c r="B9" s="35"/>
      <c r="C9" s="19"/>
      <c r="D9" s="19"/>
      <c r="E9" s="19"/>
      <c r="F9" s="19"/>
      <c r="G9" s="36" t="str">
        <f t="shared" si="0"/>
        <v/>
      </c>
      <c r="H9" s="19"/>
      <c r="I9" s="19"/>
      <c r="J9" s="19"/>
    </row>
    <row r="10" spans="1:10" x14ac:dyDescent="0.35">
      <c r="A10" s="14">
        <v>9</v>
      </c>
      <c r="B10" s="35"/>
      <c r="C10" s="19"/>
      <c r="D10" s="19"/>
      <c r="E10" s="19"/>
      <c r="F10" s="19"/>
      <c r="G10" s="36" t="str">
        <f t="shared" si="0"/>
        <v/>
      </c>
      <c r="H10" s="19"/>
      <c r="I10" s="19"/>
      <c r="J10" s="19"/>
    </row>
    <row r="11" spans="1:10" x14ac:dyDescent="0.35">
      <c r="A11" s="14">
        <v>10</v>
      </c>
      <c r="B11" s="35"/>
      <c r="C11" s="19"/>
      <c r="D11" s="19"/>
      <c r="E11" s="19"/>
      <c r="F11" s="19"/>
      <c r="G11" s="36" t="str">
        <f t="shared" si="0"/>
        <v/>
      </c>
      <c r="H11" s="19"/>
      <c r="I11" s="19"/>
      <c r="J11" s="19"/>
    </row>
    <row r="12" spans="1:10" x14ac:dyDescent="0.35">
      <c r="A12" s="14">
        <v>11</v>
      </c>
      <c r="B12" s="35"/>
      <c r="C12" s="19"/>
      <c r="D12" s="19"/>
      <c r="E12" s="19"/>
      <c r="F12" s="19"/>
      <c r="G12" s="36" t="str">
        <f t="shared" si="0"/>
        <v/>
      </c>
      <c r="H12" s="19"/>
      <c r="I12" s="19"/>
      <c r="J12" s="19"/>
    </row>
    <row r="13" spans="1:10" x14ac:dyDescent="0.35">
      <c r="A13" s="14">
        <v>12</v>
      </c>
      <c r="B13" s="35"/>
      <c r="C13" s="19"/>
      <c r="D13" s="19"/>
      <c r="E13" s="19"/>
      <c r="F13" s="19"/>
      <c r="G13" s="36" t="str">
        <f t="shared" si="0"/>
        <v/>
      </c>
      <c r="H13" s="19"/>
      <c r="I13" s="19"/>
      <c r="J13" s="19"/>
    </row>
    <row r="14" spans="1:10" x14ac:dyDescent="0.35">
      <c r="A14" s="14">
        <v>13</v>
      </c>
      <c r="B14" s="35"/>
      <c r="C14" s="19"/>
      <c r="D14" s="19"/>
      <c r="E14" s="19"/>
      <c r="F14" s="19"/>
      <c r="G14" s="36" t="str">
        <f t="shared" si="0"/>
        <v/>
      </c>
      <c r="H14" s="19"/>
      <c r="I14" s="19"/>
      <c r="J14" s="19"/>
    </row>
    <row r="15" spans="1:10" x14ac:dyDescent="0.35">
      <c r="A15" s="14">
        <v>14</v>
      </c>
      <c r="B15" s="35"/>
      <c r="C15" s="19"/>
      <c r="D15" s="19"/>
      <c r="E15" s="19"/>
      <c r="F15" s="19"/>
      <c r="G15" s="36" t="str">
        <f t="shared" si="0"/>
        <v/>
      </c>
      <c r="H15" s="19"/>
      <c r="I15" s="19"/>
      <c r="J15" s="19"/>
    </row>
    <row r="16" spans="1:10" x14ac:dyDescent="0.35">
      <c r="A16" s="14">
        <v>15</v>
      </c>
      <c r="B16" s="35"/>
      <c r="C16" s="19"/>
      <c r="D16" s="19"/>
      <c r="E16" s="19"/>
      <c r="F16" s="19"/>
      <c r="G16" s="36" t="str">
        <f t="shared" si="0"/>
        <v/>
      </c>
      <c r="H16" s="19"/>
      <c r="I16" s="19"/>
      <c r="J16" s="19"/>
    </row>
    <row r="18" spans="1:1" x14ac:dyDescent="0.35">
      <c r="A18" s="37" t="s">
        <v>194</v>
      </c>
    </row>
  </sheetData>
  <dataValidations count="1">
    <dataValidation type="list" allowBlank="1" showInputMessage="1" showErrorMessage="1" sqref="H2:H16" xr:uid="{CCA3F714-E944-4816-A743-E814F4E699D1}">
      <mc:AlternateContent xmlns:x12ac="http://schemas.microsoft.com/office/spreadsheetml/2011/1/ac" xmlns:mc="http://schemas.openxmlformats.org/markup-compatibility/2006">
        <mc:Choice Requires="x12ac">
          <x12ac:list>"ja,nein"</x12ac:list>
        </mc:Choice>
        <mc:Fallback>
          <formula1>"ja,nein"</formula1>
        </mc:Fallback>
      </mc:AlternateContent>
    </dataValidation>
  </dataValidation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5"/>
  <sheetViews>
    <sheetView workbookViewId="0">
      <pane ySplit="1" topLeftCell="A2" activePane="bottomLeft" state="frozen"/>
      <selection pane="bottomLeft"/>
    </sheetView>
  </sheetViews>
  <sheetFormatPr baseColWidth="10" defaultColWidth="8.7265625" defaultRowHeight="14.5" outlineLevelCol="1" x14ac:dyDescent="0.35"/>
  <cols>
    <col min="1" max="1" width="5" customWidth="1"/>
    <col min="2" max="2" width="7" customWidth="1"/>
    <col min="3" max="3" width="8" customWidth="1"/>
    <col min="4" max="5" width="7" customWidth="1"/>
    <col min="6" max="7" width="8" customWidth="1"/>
    <col min="8" max="8" width="11" customWidth="1"/>
    <col min="9" max="10" width="10" customWidth="1"/>
    <col min="11" max="11" width="9" customWidth="1"/>
    <col min="12" max="13" width="10" customWidth="1"/>
    <col min="14" max="17" width="9" customWidth="1"/>
    <col min="18" max="18" width="15" customWidth="1"/>
    <col min="19" max="21" width="10" customWidth="1"/>
    <col min="22" max="23" width="15" customWidth="1"/>
    <col min="24" max="24" width="40" customWidth="1"/>
    <col min="25" max="30" width="9" hidden="1" customWidth="1" outlineLevel="1"/>
    <col min="31" max="31" width="8.7265625" collapsed="1"/>
  </cols>
  <sheetData>
    <row r="1" spans="1:30" ht="32" customHeight="1" x14ac:dyDescent="0.35">
      <c r="A1" s="17" t="s">
        <v>71</v>
      </c>
      <c r="B1" s="17" t="s">
        <v>72</v>
      </c>
      <c r="C1" s="17" t="s">
        <v>49</v>
      </c>
      <c r="D1" s="17" t="s">
        <v>73</v>
      </c>
      <c r="E1" s="17" t="s">
        <v>74</v>
      </c>
      <c r="F1" s="17" t="s">
        <v>75</v>
      </c>
      <c r="G1" s="17" t="s">
        <v>76</v>
      </c>
      <c r="H1" s="17" t="s">
        <v>77</v>
      </c>
      <c r="I1" s="17" t="s">
        <v>78</v>
      </c>
      <c r="J1" s="17" t="s">
        <v>79</v>
      </c>
      <c r="K1" s="17" t="s">
        <v>80</v>
      </c>
      <c r="L1" s="17" t="s">
        <v>81</v>
      </c>
      <c r="M1" s="17" t="s">
        <v>82</v>
      </c>
      <c r="N1" s="17" t="s">
        <v>83</v>
      </c>
      <c r="O1" s="17" t="s">
        <v>84</v>
      </c>
      <c r="P1" s="17" t="s">
        <v>85</v>
      </c>
      <c r="Q1" s="17" t="s">
        <v>87</v>
      </c>
      <c r="R1" s="17" t="s">
        <v>88</v>
      </c>
      <c r="S1" s="17" t="s">
        <v>89</v>
      </c>
      <c r="T1" s="17" t="s">
        <v>90</v>
      </c>
      <c r="U1" s="17" t="s">
        <v>91</v>
      </c>
      <c r="V1" s="17" t="s">
        <v>92</v>
      </c>
      <c r="W1" s="17" t="s">
        <v>93</v>
      </c>
      <c r="X1" s="17" t="s">
        <v>94</v>
      </c>
      <c r="Y1" s="17" t="s">
        <v>95</v>
      </c>
      <c r="Z1" s="17" t="s">
        <v>96</v>
      </c>
      <c r="AA1" s="17" t="s">
        <v>97</v>
      </c>
      <c r="AB1" s="17" t="s">
        <v>98</v>
      </c>
      <c r="AC1" s="17" t="s">
        <v>99</v>
      </c>
      <c r="AD1" s="17" t="s">
        <v>100</v>
      </c>
    </row>
    <row r="2" spans="1:30" x14ac:dyDescent="0.35">
      <c r="A2" s="14">
        <v>1</v>
      </c>
      <c r="B2" s="14" t="s">
        <v>101</v>
      </c>
      <c r="C2" s="14" t="s">
        <v>53</v>
      </c>
      <c r="D2" s="14" t="s">
        <v>102</v>
      </c>
      <c r="E2" s="14">
        <v>1</v>
      </c>
      <c r="F2" s="18"/>
      <c r="G2" s="18"/>
      <c r="H2" s="8"/>
      <c r="I2" s="19"/>
      <c r="J2" s="19"/>
      <c r="K2" s="20" t="str">
        <f t="shared" ref="K2:K25" si="0">IF(OR(I2="",J2=""),"",ROUND((J2-I2)*1440,1))</f>
        <v/>
      </c>
      <c r="L2" s="19"/>
      <c r="M2" s="19"/>
      <c r="N2" s="20" t="str">
        <f t="shared" ref="N2:N25" si="1">IF(OR(L2="",M2=""),"",ROUND((M2-L2)*1440,1))</f>
        <v/>
      </c>
      <c r="O2" s="18"/>
      <c r="P2" s="21"/>
      <c r="Q2" s="20" t="str">
        <f t="shared" ref="Q2:Q25" si="2">IF(K2="","",SUM(K2,N2,P2))</f>
        <v/>
      </c>
      <c r="R2" s="18"/>
      <c r="S2" s="18"/>
      <c r="T2" s="11" t="str">
        <f>IF(K2="","",IF(COUNTIFS(Fehler!$B$2:$B$200,A2,Fehler!$I$2:$I$200,"ja")&gt;0,"ja","nein"))</f>
        <v/>
      </c>
      <c r="U2" s="18"/>
      <c r="V2" s="22"/>
      <c r="W2" s="22"/>
      <c r="X2" s="18"/>
      <c r="Y2" s="23" t="str">
        <f t="shared" ref="Y2:Y25" si="3">IF(AND(D2="alt",K2&lt;&gt;""),K2,"")</f>
        <v/>
      </c>
      <c r="Z2" s="23" t="str">
        <f t="shared" ref="Z2:Z25" si="4">IF(AND(D2="neu",K2&lt;&gt;""),K2,"")</f>
        <v/>
      </c>
      <c r="AA2" s="23" t="str">
        <f t="shared" ref="AA2:AA25" si="5">IF(AND(D2="alt",K2&lt;&gt;""),SUM(N2,P2),"")</f>
        <v/>
      </c>
      <c r="AB2" s="23" t="str">
        <f t="shared" ref="AB2:AB25" si="6">IF(AND(D2="neu",K2&lt;&gt;""),SUM(N2,P2),"")</f>
        <v/>
      </c>
      <c r="AC2" s="23" t="str">
        <f t="shared" ref="AC2:AC25" si="7">IF(AND(D2="alt",K2&lt;&gt;""),Q2,"")</f>
        <v/>
      </c>
      <c r="AD2" s="23" t="str">
        <f t="shared" ref="AD2:AD25" si="8">IF(AND(D2="neu",K2&lt;&gt;""),SUM(K2,N2,P2),"")</f>
        <v/>
      </c>
    </row>
    <row r="3" spans="1:30" x14ac:dyDescent="0.35">
      <c r="A3" s="14">
        <v>2</v>
      </c>
      <c r="B3" s="14" t="s">
        <v>101</v>
      </c>
      <c r="C3" s="14" t="s">
        <v>53</v>
      </c>
      <c r="D3" s="14" t="s">
        <v>103</v>
      </c>
      <c r="E3" s="14">
        <v>2</v>
      </c>
      <c r="F3" s="18"/>
      <c r="G3" s="18"/>
      <c r="H3" s="8"/>
      <c r="I3" s="19"/>
      <c r="J3" s="19"/>
      <c r="K3" s="20" t="str">
        <f t="shared" si="0"/>
        <v/>
      </c>
      <c r="L3" s="19"/>
      <c r="M3" s="19"/>
      <c r="N3" s="20" t="str">
        <f t="shared" si="1"/>
        <v/>
      </c>
      <c r="O3" s="18"/>
      <c r="P3" s="21"/>
      <c r="Q3" s="20" t="str">
        <f t="shared" si="2"/>
        <v/>
      </c>
      <c r="R3" s="18"/>
      <c r="S3" s="18"/>
      <c r="T3" s="11" t="str">
        <f>IF(K3="","",IF(COUNTIFS(Fehler!$B$2:$B$200,A3,Fehler!$I$2:$I$200,"ja")&gt;0,"ja","nein"))</f>
        <v/>
      </c>
      <c r="U3" s="18"/>
      <c r="V3" s="22"/>
      <c r="W3" s="22"/>
      <c r="X3" s="18"/>
      <c r="Y3" s="23" t="str">
        <f t="shared" si="3"/>
        <v/>
      </c>
      <c r="Z3" s="23" t="str">
        <f t="shared" si="4"/>
        <v/>
      </c>
      <c r="AA3" s="23" t="str">
        <f t="shared" si="5"/>
        <v/>
      </c>
      <c r="AB3" s="23" t="str">
        <f t="shared" si="6"/>
        <v/>
      </c>
      <c r="AC3" s="23" t="str">
        <f t="shared" si="7"/>
        <v/>
      </c>
      <c r="AD3" s="23" t="str">
        <f t="shared" si="8"/>
        <v/>
      </c>
    </row>
    <row r="4" spans="1:30" x14ac:dyDescent="0.35">
      <c r="A4" s="14">
        <v>3</v>
      </c>
      <c r="B4" s="14" t="s">
        <v>101</v>
      </c>
      <c r="C4" s="14" t="s">
        <v>55</v>
      </c>
      <c r="D4" s="14" t="s">
        <v>103</v>
      </c>
      <c r="E4" s="14">
        <v>1</v>
      </c>
      <c r="F4" s="18"/>
      <c r="G4" s="18"/>
      <c r="H4" s="8"/>
      <c r="I4" s="19"/>
      <c r="J4" s="19"/>
      <c r="K4" s="20" t="str">
        <f t="shared" si="0"/>
        <v/>
      </c>
      <c r="L4" s="19"/>
      <c r="M4" s="19"/>
      <c r="N4" s="20" t="str">
        <f t="shared" si="1"/>
        <v/>
      </c>
      <c r="O4" s="18"/>
      <c r="P4" s="21"/>
      <c r="Q4" s="20" t="str">
        <f t="shared" si="2"/>
        <v/>
      </c>
      <c r="R4" s="18"/>
      <c r="S4" s="18"/>
      <c r="T4" s="11" t="str">
        <f>IF(K4="","",IF(COUNTIFS(Fehler!$B$2:$B$200,A4,Fehler!$I$2:$I$200,"ja")&gt;0,"ja","nein"))</f>
        <v/>
      </c>
      <c r="U4" s="18"/>
      <c r="V4" s="22"/>
      <c r="W4" s="22"/>
      <c r="X4" s="18"/>
      <c r="Y4" s="23" t="str">
        <f t="shared" si="3"/>
        <v/>
      </c>
      <c r="Z4" s="23" t="str">
        <f t="shared" si="4"/>
        <v/>
      </c>
      <c r="AA4" s="23" t="str">
        <f t="shared" si="5"/>
        <v/>
      </c>
      <c r="AB4" s="23" t="str">
        <f t="shared" si="6"/>
        <v/>
      </c>
      <c r="AC4" s="23" t="str">
        <f t="shared" si="7"/>
        <v/>
      </c>
      <c r="AD4" s="23" t="str">
        <f t="shared" si="8"/>
        <v/>
      </c>
    </row>
    <row r="5" spans="1:30" x14ac:dyDescent="0.35">
      <c r="A5" s="14">
        <v>4</v>
      </c>
      <c r="B5" s="14" t="s">
        <v>101</v>
      </c>
      <c r="C5" s="14" t="s">
        <v>55</v>
      </c>
      <c r="D5" s="14" t="s">
        <v>102</v>
      </c>
      <c r="E5" s="14">
        <v>2</v>
      </c>
      <c r="F5" s="18"/>
      <c r="G5" s="18"/>
      <c r="H5" s="8"/>
      <c r="I5" s="19"/>
      <c r="J5" s="19"/>
      <c r="K5" s="20" t="str">
        <f t="shared" si="0"/>
        <v/>
      </c>
      <c r="L5" s="19"/>
      <c r="M5" s="19"/>
      <c r="N5" s="20" t="str">
        <f t="shared" si="1"/>
        <v/>
      </c>
      <c r="O5" s="18"/>
      <c r="P5" s="21"/>
      <c r="Q5" s="20" t="str">
        <f t="shared" si="2"/>
        <v/>
      </c>
      <c r="R5" s="18"/>
      <c r="S5" s="18"/>
      <c r="T5" s="11" t="str">
        <f>IF(K5="","",IF(COUNTIFS(Fehler!$B$2:$B$200,A5,Fehler!$I$2:$I$200,"ja")&gt;0,"ja","nein"))</f>
        <v/>
      </c>
      <c r="U5" s="18"/>
      <c r="V5" s="22"/>
      <c r="W5" s="22"/>
      <c r="X5" s="18"/>
      <c r="Y5" s="23" t="str">
        <f t="shared" si="3"/>
        <v/>
      </c>
      <c r="Z5" s="23" t="str">
        <f t="shared" si="4"/>
        <v/>
      </c>
      <c r="AA5" s="23" t="str">
        <f t="shared" si="5"/>
        <v/>
      </c>
      <c r="AB5" s="23" t="str">
        <f t="shared" si="6"/>
        <v/>
      </c>
      <c r="AC5" s="23" t="str">
        <f t="shared" si="7"/>
        <v/>
      </c>
      <c r="AD5" s="23" t="str">
        <f t="shared" si="8"/>
        <v/>
      </c>
    </row>
    <row r="6" spans="1:30" x14ac:dyDescent="0.35">
      <c r="A6" s="14">
        <v>5</v>
      </c>
      <c r="B6" s="14" t="s">
        <v>101</v>
      </c>
      <c r="C6" s="14" t="s">
        <v>57</v>
      </c>
      <c r="D6" s="14" t="s">
        <v>102</v>
      </c>
      <c r="E6" s="14">
        <v>1</v>
      </c>
      <c r="F6" s="18"/>
      <c r="G6" s="18"/>
      <c r="H6" s="8"/>
      <c r="I6" s="19"/>
      <c r="J6" s="19"/>
      <c r="K6" s="20" t="str">
        <f t="shared" si="0"/>
        <v/>
      </c>
      <c r="L6" s="19"/>
      <c r="M6" s="19"/>
      <c r="N6" s="20" t="str">
        <f t="shared" si="1"/>
        <v/>
      </c>
      <c r="O6" s="18"/>
      <c r="P6" s="21"/>
      <c r="Q6" s="20" t="str">
        <f t="shared" si="2"/>
        <v/>
      </c>
      <c r="R6" s="18"/>
      <c r="S6" s="18"/>
      <c r="T6" s="11" t="str">
        <f>IF(K6="","",IF(COUNTIFS(Fehler!$B$2:$B$200,A6,Fehler!$I$2:$I$200,"ja")&gt;0,"ja","nein"))</f>
        <v/>
      </c>
      <c r="U6" s="18"/>
      <c r="V6" s="22"/>
      <c r="W6" s="22"/>
      <c r="X6" s="18"/>
      <c r="Y6" s="23" t="str">
        <f t="shared" si="3"/>
        <v/>
      </c>
      <c r="Z6" s="23" t="str">
        <f t="shared" si="4"/>
        <v/>
      </c>
      <c r="AA6" s="23" t="str">
        <f t="shared" si="5"/>
        <v/>
      </c>
      <c r="AB6" s="23" t="str">
        <f t="shared" si="6"/>
        <v/>
      </c>
      <c r="AC6" s="23" t="str">
        <f t="shared" si="7"/>
        <v/>
      </c>
      <c r="AD6" s="23" t="str">
        <f t="shared" si="8"/>
        <v/>
      </c>
    </row>
    <row r="7" spans="1:30" x14ac:dyDescent="0.35">
      <c r="A7" s="14">
        <v>6</v>
      </c>
      <c r="B7" s="14" t="s">
        <v>101</v>
      </c>
      <c r="C7" s="14" t="s">
        <v>57</v>
      </c>
      <c r="D7" s="14" t="s">
        <v>103</v>
      </c>
      <c r="E7" s="14">
        <v>2</v>
      </c>
      <c r="F7" s="18"/>
      <c r="G7" s="18"/>
      <c r="H7" s="8"/>
      <c r="I7" s="19"/>
      <c r="J7" s="19"/>
      <c r="K7" s="20" t="str">
        <f t="shared" si="0"/>
        <v/>
      </c>
      <c r="L7" s="19"/>
      <c r="M7" s="19"/>
      <c r="N7" s="20" t="str">
        <f t="shared" si="1"/>
        <v/>
      </c>
      <c r="O7" s="18"/>
      <c r="P7" s="21"/>
      <c r="Q7" s="20" t="str">
        <f t="shared" si="2"/>
        <v/>
      </c>
      <c r="R7" s="18"/>
      <c r="S7" s="18"/>
      <c r="T7" s="11" t="str">
        <f>IF(K7="","",IF(COUNTIFS(Fehler!$B$2:$B$200,A7,Fehler!$I$2:$I$200,"ja")&gt;0,"ja","nein"))</f>
        <v/>
      </c>
      <c r="U7" s="18"/>
      <c r="V7" s="22"/>
      <c r="W7" s="22"/>
      <c r="X7" s="18"/>
      <c r="Y7" s="23" t="str">
        <f t="shared" si="3"/>
        <v/>
      </c>
      <c r="Z7" s="23" t="str">
        <f t="shared" si="4"/>
        <v/>
      </c>
      <c r="AA7" s="23" t="str">
        <f t="shared" si="5"/>
        <v/>
      </c>
      <c r="AB7" s="23" t="str">
        <f t="shared" si="6"/>
        <v/>
      </c>
      <c r="AC7" s="23" t="str">
        <f t="shared" si="7"/>
        <v/>
      </c>
      <c r="AD7" s="23" t="str">
        <f t="shared" si="8"/>
        <v/>
      </c>
    </row>
    <row r="8" spans="1:30" x14ac:dyDescent="0.35">
      <c r="A8" s="14">
        <v>7</v>
      </c>
      <c r="B8" s="14" t="s">
        <v>101</v>
      </c>
      <c r="C8" s="14" t="s">
        <v>104</v>
      </c>
      <c r="D8" s="14" t="s">
        <v>103</v>
      </c>
      <c r="E8" s="14">
        <v>1</v>
      </c>
      <c r="F8" s="18"/>
      <c r="G8" s="18"/>
      <c r="H8" s="8"/>
      <c r="I8" s="19"/>
      <c r="J8" s="19"/>
      <c r="K8" s="20" t="str">
        <f t="shared" si="0"/>
        <v/>
      </c>
      <c r="L8" s="19"/>
      <c r="M8" s="19"/>
      <c r="N8" s="20" t="str">
        <f t="shared" si="1"/>
        <v/>
      </c>
      <c r="O8" s="18"/>
      <c r="P8" s="21"/>
      <c r="Q8" s="20" t="str">
        <f t="shared" si="2"/>
        <v/>
      </c>
      <c r="R8" s="18"/>
      <c r="S8" s="18"/>
      <c r="T8" s="11" t="str">
        <f>IF(K8="","",IF(COUNTIFS(Fehler!$B$2:$B$200,A8,Fehler!$I$2:$I$200,"ja")&gt;0,"ja","nein"))</f>
        <v/>
      </c>
      <c r="U8" s="18"/>
      <c r="V8" s="22"/>
      <c r="W8" s="22"/>
      <c r="X8" s="18"/>
      <c r="Y8" s="23" t="str">
        <f t="shared" si="3"/>
        <v/>
      </c>
      <c r="Z8" s="23" t="str">
        <f t="shared" si="4"/>
        <v/>
      </c>
      <c r="AA8" s="23" t="str">
        <f t="shared" si="5"/>
        <v/>
      </c>
      <c r="AB8" s="23" t="str">
        <f t="shared" si="6"/>
        <v/>
      </c>
      <c r="AC8" s="23" t="str">
        <f t="shared" si="7"/>
        <v/>
      </c>
      <c r="AD8" s="23" t="str">
        <f t="shared" si="8"/>
        <v/>
      </c>
    </row>
    <row r="9" spans="1:30" x14ac:dyDescent="0.35">
      <c r="A9" s="14">
        <v>8</v>
      </c>
      <c r="B9" s="14" t="s">
        <v>101</v>
      </c>
      <c r="C9" s="14" t="s">
        <v>104</v>
      </c>
      <c r="D9" s="14" t="s">
        <v>102</v>
      </c>
      <c r="E9" s="14">
        <v>2</v>
      </c>
      <c r="F9" s="18"/>
      <c r="G9" s="18"/>
      <c r="H9" s="8"/>
      <c r="I9" s="19"/>
      <c r="J9" s="19"/>
      <c r="K9" s="20" t="str">
        <f t="shared" si="0"/>
        <v/>
      </c>
      <c r="L9" s="19"/>
      <c r="M9" s="19"/>
      <c r="N9" s="20" t="str">
        <f t="shared" si="1"/>
        <v/>
      </c>
      <c r="O9" s="18"/>
      <c r="P9" s="21"/>
      <c r="Q9" s="20" t="str">
        <f t="shared" si="2"/>
        <v/>
      </c>
      <c r="R9" s="18"/>
      <c r="S9" s="18"/>
      <c r="T9" s="11" t="str">
        <f>IF(K9="","",IF(COUNTIFS(Fehler!$B$2:$B$200,A9,Fehler!$I$2:$I$200,"ja")&gt;0,"ja","nein"))</f>
        <v/>
      </c>
      <c r="U9" s="18"/>
      <c r="V9" s="22"/>
      <c r="W9" s="22"/>
      <c r="X9" s="18"/>
      <c r="Y9" s="23" t="str">
        <f t="shared" si="3"/>
        <v/>
      </c>
      <c r="Z9" s="23" t="str">
        <f t="shared" si="4"/>
        <v/>
      </c>
      <c r="AA9" s="23" t="str">
        <f t="shared" si="5"/>
        <v/>
      </c>
      <c r="AB9" s="23" t="str">
        <f t="shared" si="6"/>
        <v/>
      </c>
      <c r="AC9" s="23" t="str">
        <f t="shared" si="7"/>
        <v/>
      </c>
      <c r="AD9" s="23" t="str">
        <f t="shared" si="8"/>
        <v/>
      </c>
    </row>
    <row r="10" spans="1:30" x14ac:dyDescent="0.35">
      <c r="A10" s="14">
        <v>9</v>
      </c>
      <c r="B10" s="14" t="s">
        <v>101</v>
      </c>
      <c r="C10" s="14" t="s">
        <v>105</v>
      </c>
      <c r="D10" s="14" t="s">
        <v>102</v>
      </c>
      <c r="E10" s="14">
        <v>1</v>
      </c>
      <c r="F10" s="18"/>
      <c r="G10" s="18"/>
      <c r="H10" s="8"/>
      <c r="I10" s="19"/>
      <c r="J10" s="19"/>
      <c r="K10" s="20" t="str">
        <f t="shared" si="0"/>
        <v/>
      </c>
      <c r="L10" s="19"/>
      <c r="M10" s="19"/>
      <c r="N10" s="20" t="str">
        <f t="shared" si="1"/>
        <v/>
      </c>
      <c r="O10" s="18"/>
      <c r="P10" s="21"/>
      <c r="Q10" s="20" t="str">
        <f t="shared" si="2"/>
        <v/>
      </c>
      <c r="R10" s="18"/>
      <c r="S10" s="18"/>
      <c r="T10" s="11" t="str">
        <f>IF(K10="","",IF(COUNTIFS(Fehler!$B$2:$B$200,A10,Fehler!$I$2:$I$200,"ja")&gt;0,"ja","nein"))</f>
        <v/>
      </c>
      <c r="U10" s="18"/>
      <c r="V10" s="22"/>
      <c r="W10" s="22"/>
      <c r="X10" s="18"/>
      <c r="Y10" s="23" t="str">
        <f t="shared" si="3"/>
        <v/>
      </c>
      <c r="Z10" s="23" t="str">
        <f t="shared" si="4"/>
        <v/>
      </c>
      <c r="AA10" s="23" t="str">
        <f t="shared" si="5"/>
        <v/>
      </c>
      <c r="AB10" s="23" t="str">
        <f t="shared" si="6"/>
        <v/>
      </c>
      <c r="AC10" s="23" t="str">
        <f t="shared" si="7"/>
        <v/>
      </c>
      <c r="AD10" s="23" t="str">
        <f t="shared" si="8"/>
        <v/>
      </c>
    </row>
    <row r="11" spans="1:30" x14ac:dyDescent="0.35">
      <c r="A11" s="14">
        <v>10</v>
      </c>
      <c r="B11" s="14" t="s">
        <v>101</v>
      </c>
      <c r="C11" s="14" t="s">
        <v>105</v>
      </c>
      <c r="D11" s="14" t="s">
        <v>103</v>
      </c>
      <c r="E11" s="14">
        <v>2</v>
      </c>
      <c r="F11" s="18"/>
      <c r="G11" s="18"/>
      <c r="H11" s="8"/>
      <c r="I11" s="19"/>
      <c r="J11" s="19"/>
      <c r="K11" s="20" t="str">
        <f t="shared" si="0"/>
        <v/>
      </c>
      <c r="L11" s="19"/>
      <c r="M11" s="19"/>
      <c r="N11" s="20" t="str">
        <f t="shared" si="1"/>
        <v/>
      </c>
      <c r="O11" s="18"/>
      <c r="P11" s="21"/>
      <c r="Q11" s="20" t="str">
        <f t="shared" si="2"/>
        <v/>
      </c>
      <c r="R11" s="18"/>
      <c r="S11" s="18"/>
      <c r="T11" s="11" t="str">
        <f>IF(K11="","",IF(COUNTIFS(Fehler!$B$2:$B$200,A11,Fehler!$I$2:$I$200,"ja")&gt;0,"ja","nein"))</f>
        <v/>
      </c>
      <c r="U11" s="18"/>
      <c r="V11" s="22"/>
      <c r="W11" s="22"/>
      <c r="X11" s="18"/>
      <c r="Y11" s="23" t="str">
        <f t="shared" si="3"/>
        <v/>
      </c>
      <c r="Z11" s="23" t="str">
        <f t="shared" si="4"/>
        <v/>
      </c>
      <c r="AA11" s="23" t="str">
        <f t="shared" si="5"/>
        <v/>
      </c>
      <c r="AB11" s="23" t="str">
        <f t="shared" si="6"/>
        <v/>
      </c>
      <c r="AC11" s="23" t="str">
        <f t="shared" si="7"/>
        <v/>
      </c>
      <c r="AD11" s="23" t="str">
        <f t="shared" si="8"/>
        <v/>
      </c>
    </row>
    <row r="12" spans="1:30" x14ac:dyDescent="0.35">
      <c r="A12" s="14">
        <v>11</v>
      </c>
      <c r="B12" s="14" t="s">
        <v>101</v>
      </c>
      <c r="C12" s="14" t="s">
        <v>67</v>
      </c>
      <c r="D12" s="14" t="s">
        <v>103</v>
      </c>
      <c r="E12" s="14">
        <v>1</v>
      </c>
      <c r="F12" s="18"/>
      <c r="G12" s="18"/>
      <c r="H12" s="8"/>
      <c r="I12" s="19"/>
      <c r="J12" s="19"/>
      <c r="K12" s="20" t="str">
        <f t="shared" si="0"/>
        <v/>
      </c>
      <c r="L12" s="19"/>
      <c r="M12" s="19"/>
      <c r="N12" s="20" t="str">
        <f t="shared" si="1"/>
        <v/>
      </c>
      <c r="O12" s="18"/>
      <c r="P12" s="21"/>
      <c r="Q12" s="20" t="str">
        <f t="shared" si="2"/>
        <v/>
      </c>
      <c r="R12" s="18"/>
      <c r="S12" s="18"/>
      <c r="T12" s="11" t="str">
        <f>IF(K12="","",IF(COUNTIFS(Fehler!$B$2:$B$200,A12,Fehler!$I$2:$I$200,"ja")&gt;0,"ja","nein"))</f>
        <v/>
      </c>
      <c r="U12" s="18"/>
      <c r="V12" s="22"/>
      <c r="W12" s="22"/>
      <c r="X12" s="18"/>
      <c r="Y12" s="23" t="str">
        <f t="shared" si="3"/>
        <v/>
      </c>
      <c r="Z12" s="23" t="str">
        <f t="shared" si="4"/>
        <v/>
      </c>
      <c r="AA12" s="23" t="str">
        <f t="shared" si="5"/>
        <v/>
      </c>
      <c r="AB12" s="23" t="str">
        <f t="shared" si="6"/>
        <v/>
      </c>
      <c r="AC12" s="23" t="str">
        <f t="shared" si="7"/>
        <v/>
      </c>
      <c r="AD12" s="23" t="str">
        <f t="shared" si="8"/>
        <v/>
      </c>
    </row>
    <row r="13" spans="1:30" x14ac:dyDescent="0.35">
      <c r="A13" s="14">
        <v>12</v>
      </c>
      <c r="B13" s="14" t="s">
        <v>101</v>
      </c>
      <c r="C13" s="14" t="s">
        <v>67</v>
      </c>
      <c r="D13" s="14" t="s">
        <v>102</v>
      </c>
      <c r="E13" s="14">
        <v>2</v>
      </c>
      <c r="F13" s="18"/>
      <c r="G13" s="18"/>
      <c r="H13" s="8"/>
      <c r="I13" s="19"/>
      <c r="J13" s="19"/>
      <c r="K13" s="20" t="str">
        <f t="shared" si="0"/>
        <v/>
      </c>
      <c r="L13" s="19"/>
      <c r="M13" s="19"/>
      <c r="N13" s="20" t="str">
        <f t="shared" si="1"/>
        <v/>
      </c>
      <c r="O13" s="18"/>
      <c r="P13" s="21"/>
      <c r="Q13" s="20" t="str">
        <f t="shared" si="2"/>
        <v/>
      </c>
      <c r="R13" s="18"/>
      <c r="S13" s="18"/>
      <c r="T13" s="11" t="str">
        <f>IF(K13="","",IF(COUNTIFS(Fehler!$B$2:$B$200,A13,Fehler!$I$2:$I$200,"ja")&gt;0,"ja","nein"))</f>
        <v/>
      </c>
      <c r="U13" s="18"/>
      <c r="V13" s="22"/>
      <c r="W13" s="22"/>
      <c r="X13" s="18"/>
      <c r="Y13" s="23" t="str">
        <f t="shared" si="3"/>
        <v/>
      </c>
      <c r="Z13" s="23" t="str">
        <f t="shared" si="4"/>
        <v/>
      </c>
      <c r="AA13" s="23" t="str">
        <f t="shared" si="5"/>
        <v/>
      </c>
      <c r="AB13" s="23" t="str">
        <f t="shared" si="6"/>
        <v/>
      </c>
      <c r="AC13" s="23" t="str">
        <f t="shared" si="7"/>
        <v/>
      </c>
      <c r="AD13" s="23" t="str">
        <f t="shared" si="8"/>
        <v/>
      </c>
    </row>
    <row r="14" spans="1:30" x14ac:dyDescent="0.35">
      <c r="A14" s="14">
        <v>13</v>
      </c>
      <c r="B14" s="14" t="s">
        <v>106</v>
      </c>
      <c r="C14" s="14" t="s">
        <v>53</v>
      </c>
      <c r="D14" s="14" t="s">
        <v>103</v>
      </c>
      <c r="E14" s="14">
        <v>1</v>
      </c>
      <c r="F14" s="18"/>
      <c r="G14" s="18"/>
      <c r="H14" s="8"/>
      <c r="I14" s="19"/>
      <c r="J14" s="19"/>
      <c r="K14" s="20" t="str">
        <f t="shared" si="0"/>
        <v/>
      </c>
      <c r="L14" s="19"/>
      <c r="M14" s="19"/>
      <c r="N14" s="20" t="str">
        <f t="shared" si="1"/>
        <v/>
      </c>
      <c r="O14" s="18"/>
      <c r="P14" s="21"/>
      <c r="Q14" s="20" t="str">
        <f t="shared" si="2"/>
        <v/>
      </c>
      <c r="R14" s="18"/>
      <c r="S14" s="18"/>
      <c r="T14" s="11" t="str">
        <f>IF(K14="","",IF(COUNTIFS(Fehler!$B$2:$B$200,A14,Fehler!$I$2:$I$200,"ja")&gt;0,"ja","nein"))</f>
        <v/>
      </c>
      <c r="U14" s="18"/>
      <c r="V14" s="22"/>
      <c r="W14" s="22"/>
      <c r="X14" s="18"/>
      <c r="Y14" s="23" t="str">
        <f t="shared" si="3"/>
        <v/>
      </c>
      <c r="Z14" s="23" t="str">
        <f t="shared" si="4"/>
        <v/>
      </c>
      <c r="AA14" s="23" t="str">
        <f t="shared" si="5"/>
        <v/>
      </c>
      <c r="AB14" s="23" t="str">
        <f t="shared" si="6"/>
        <v/>
      </c>
      <c r="AC14" s="23" t="str">
        <f t="shared" si="7"/>
        <v/>
      </c>
      <c r="AD14" s="23" t="str">
        <f t="shared" si="8"/>
        <v/>
      </c>
    </row>
    <row r="15" spans="1:30" x14ac:dyDescent="0.35">
      <c r="A15" s="14">
        <v>14</v>
      </c>
      <c r="B15" s="14" t="s">
        <v>106</v>
      </c>
      <c r="C15" s="14" t="s">
        <v>53</v>
      </c>
      <c r="D15" s="14" t="s">
        <v>102</v>
      </c>
      <c r="E15" s="14">
        <v>2</v>
      </c>
      <c r="F15" s="18"/>
      <c r="G15" s="18"/>
      <c r="H15" s="8"/>
      <c r="I15" s="19"/>
      <c r="J15" s="19"/>
      <c r="K15" s="20" t="str">
        <f t="shared" si="0"/>
        <v/>
      </c>
      <c r="L15" s="19"/>
      <c r="M15" s="19"/>
      <c r="N15" s="20" t="str">
        <f t="shared" si="1"/>
        <v/>
      </c>
      <c r="O15" s="18"/>
      <c r="P15" s="21"/>
      <c r="Q15" s="20" t="str">
        <f t="shared" si="2"/>
        <v/>
      </c>
      <c r="R15" s="18"/>
      <c r="S15" s="18"/>
      <c r="T15" s="11" t="str">
        <f>IF(K15="","",IF(COUNTIFS(Fehler!$B$2:$B$200,A15,Fehler!$I$2:$I$200,"ja")&gt;0,"ja","nein"))</f>
        <v/>
      </c>
      <c r="U15" s="18"/>
      <c r="V15" s="22"/>
      <c r="W15" s="22"/>
      <c r="X15" s="18"/>
      <c r="Y15" s="23" t="str">
        <f t="shared" si="3"/>
        <v/>
      </c>
      <c r="Z15" s="23" t="str">
        <f t="shared" si="4"/>
        <v/>
      </c>
      <c r="AA15" s="23" t="str">
        <f t="shared" si="5"/>
        <v/>
      </c>
      <c r="AB15" s="23" t="str">
        <f t="shared" si="6"/>
        <v/>
      </c>
      <c r="AC15" s="23" t="str">
        <f t="shared" si="7"/>
        <v/>
      </c>
      <c r="AD15" s="23" t="str">
        <f t="shared" si="8"/>
        <v/>
      </c>
    </row>
    <row r="16" spans="1:30" x14ac:dyDescent="0.35">
      <c r="A16" s="14">
        <v>15</v>
      </c>
      <c r="B16" s="14" t="s">
        <v>106</v>
      </c>
      <c r="C16" s="14" t="s">
        <v>55</v>
      </c>
      <c r="D16" s="14" t="s">
        <v>102</v>
      </c>
      <c r="E16" s="14">
        <v>1</v>
      </c>
      <c r="F16" s="18"/>
      <c r="G16" s="18"/>
      <c r="H16" s="8"/>
      <c r="I16" s="19"/>
      <c r="J16" s="19"/>
      <c r="K16" s="20" t="str">
        <f t="shared" si="0"/>
        <v/>
      </c>
      <c r="L16" s="19"/>
      <c r="M16" s="19"/>
      <c r="N16" s="20" t="str">
        <f t="shared" si="1"/>
        <v/>
      </c>
      <c r="O16" s="18"/>
      <c r="P16" s="21"/>
      <c r="Q16" s="20" t="str">
        <f t="shared" si="2"/>
        <v/>
      </c>
      <c r="R16" s="18"/>
      <c r="S16" s="18"/>
      <c r="T16" s="11" t="str">
        <f>IF(K16="","",IF(COUNTIFS(Fehler!$B$2:$B$200,A16,Fehler!$I$2:$I$200,"ja")&gt;0,"ja","nein"))</f>
        <v/>
      </c>
      <c r="U16" s="18"/>
      <c r="V16" s="22"/>
      <c r="W16" s="22"/>
      <c r="X16" s="18"/>
      <c r="Y16" s="23" t="str">
        <f t="shared" si="3"/>
        <v/>
      </c>
      <c r="Z16" s="23" t="str">
        <f t="shared" si="4"/>
        <v/>
      </c>
      <c r="AA16" s="23" t="str">
        <f t="shared" si="5"/>
        <v/>
      </c>
      <c r="AB16" s="23" t="str">
        <f t="shared" si="6"/>
        <v/>
      </c>
      <c r="AC16" s="23" t="str">
        <f t="shared" si="7"/>
        <v/>
      </c>
      <c r="AD16" s="23" t="str">
        <f t="shared" si="8"/>
        <v/>
      </c>
    </row>
    <row r="17" spans="1:30" x14ac:dyDescent="0.35">
      <c r="A17" s="14">
        <v>16</v>
      </c>
      <c r="B17" s="14" t="s">
        <v>106</v>
      </c>
      <c r="C17" s="14" t="s">
        <v>55</v>
      </c>
      <c r="D17" s="14" t="s">
        <v>103</v>
      </c>
      <c r="E17" s="14">
        <v>2</v>
      </c>
      <c r="F17" s="18"/>
      <c r="G17" s="18"/>
      <c r="H17" s="8"/>
      <c r="I17" s="19"/>
      <c r="J17" s="19"/>
      <c r="K17" s="20" t="str">
        <f t="shared" si="0"/>
        <v/>
      </c>
      <c r="L17" s="19"/>
      <c r="M17" s="19"/>
      <c r="N17" s="20" t="str">
        <f t="shared" si="1"/>
        <v/>
      </c>
      <c r="O17" s="18"/>
      <c r="P17" s="21"/>
      <c r="Q17" s="20" t="str">
        <f t="shared" si="2"/>
        <v/>
      </c>
      <c r="R17" s="18"/>
      <c r="S17" s="18"/>
      <c r="T17" s="11" t="str">
        <f>IF(K17="","",IF(COUNTIFS(Fehler!$B$2:$B$200,A17,Fehler!$I$2:$I$200,"ja")&gt;0,"ja","nein"))</f>
        <v/>
      </c>
      <c r="U17" s="18"/>
      <c r="V17" s="22"/>
      <c r="W17" s="22"/>
      <c r="X17" s="18"/>
      <c r="Y17" s="23" t="str">
        <f t="shared" si="3"/>
        <v/>
      </c>
      <c r="Z17" s="23" t="str">
        <f t="shared" si="4"/>
        <v/>
      </c>
      <c r="AA17" s="23" t="str">
        <f t="shared" si="5"/>
        <v/>
      </c>
      <c r="AB17" s="23" t="str">
        <f t="shared" si="6"/>
        <v/>
      </c>
      <c r="AC17" s="23" t="str">
        <f t="shared" si="7"/>
        <v/>
      </c>
      <c r="AD17" s="23" t="str">
        <f t="shared" si="8"/>
        <v/>
      </c>
    </row>
    <row r="18" spans="1:30" x14ac:dyDescent="0.35">
      <c r="A18" s="14">
        <v>17</v>
      </c>
      <c r="B18" s="14" t="s">
        <v>106</v>
      </c>
      <c r="C18" s="14" t="s">
        <v>57</v>
      </c>
      <c r="D18" s="14" t="s">
        <v>103</v>
      </c>
      <c r="E18" s="14">
        <v>1</v>
      </c>
      <c r="F18" s="18"/>
      <c r="G18" s="18"/>
      <c r="H18" s="8"/>
      <c r="I18" s="19"/>
      <c r="J18" s="19"/>
      <c r="K18" s="20" t="str">
        <f t="shared" si="0"/>
        <v/>
      </c>
      <c r="L18" s="19"/>
      <c r="M18" s="19"/>
      <c r="N18" s="20" t="str">
        <f t="shared" si="1"/>
        <v/>
      </c>
      <c r="O18" s="18"/>
      <c r="P18" s="21"/>
      <c r="Q18" s="20" t="str">
        <f t="shared" si="2"/>
        <v/>
      </c>
      <c r="R18" s="18"/>
      <c r="S18" s="18"/>
      <c r="T18" s="11" t="str">
        <f>IF(K18="","",IF(COUNTIFS(Fehler!$B$2:$B$200,A18,Fehler!$I$2:$I$200,"ja")&gt;0,"ja","nein"))</f>
        <v/>
      </c>
      <c r="U18" s="18"/>
      <c r="V18" s="22"/>
      <c r="W18" s="22"/>
      <c r="X18" s="18"/>
      <c r="Y18" s="23" t="str">
        <f t="shared" si="3"/>
        <v/>
      </c>
      <c r="Z18" s="23" t="str">
        <f t="shared" si="4"/>
        <v/>
      </c>
      <c r="AA18" s="23" t="str">
        <f t="shared" si="5"/>
        <v/>
      </c>
      <c r="AB18" s="23" t="str">
        <f t="shared" si="6"/>
        <v/>
      </c>
      <c r="AC18" s="23" t="str">
        <f t="shared" si="7"/>
        <v/>
      </c>
      <c r="AD18" s="23" t="str">
        <f t="shared" si="8"/>
        <v/>
      </c>
    </row>
    <row r="19" spans="1:30" x14ac:dyDescent="0.35">
      <c r="A19" s="14">
        <v>18</v>
      </c>
      <c r="B19" s="14" t="s">
        <v>106</v>
      </c>
      <c r="C19" s="14" t="s">
        <v>57</v>
      </c>
      <c r="D19" s="14" t="s">
        <v>102</v>
      </c>
      <c r="E19" s="14">
        <v>2</v>
      </c>
      <c r="F19" s="18"/>
      <c r="G19" s="18"/>
      <c r="H19" s="8"/>
      <c r="I19" s="19"/>
      <c r="J19" s="19"/>
      <c r="K19" s="20" t="str">
        <f t="shared" si="0"/>
        <v/>
      </c>
      <c r="L19" s="19"/>
      <c r="M19" s="19"/>
      <c r="N19" s="20" t="str">
        <f t="shared" si="1"/>
        <v/>
      </c>
      <c r="O19" s="18"/>
      <c r="P19" s="21"/>
      <c r="Q19" s="20" t="str">
        <f t="shared" si="2"/>
        <v/>
      </c>
      <c r="R19" s="18"/>
      <c r="S19" s="18"/>
      <c r="T19" s="11" t="str">
        <f>IF(K19="","",IF(COUNTIFS(Fehler!$B$2:$B$200,A19,Fehler!$I$2:$I$200,"ja")&gt;0,"ja","nein"))</f>
        <v/>
      </c>
      <c r="U19" s="18"/>
      <c r="V19" s="22"/>
      <c r="W19" s="22"/>
      <c r="X19" s="18"/>
      <c r="Y19" s="23" t="str">
        <f t="shared" si="3"/>
        <v/>
      </c>
      <c r="Z19" s="23" t="str">
        <f t="shared" si="4"/>
        <v/>
      </c>
      <c r="AA19" s="23" t="str">
        <f t="shared" si="5"/>
        <v/>
      </c>
      <c r="AB19" s="23" t="str">
        <f t="shared" si="6"/>
        <v/>
      </c>
      <c r="AC19" s="23" t="str">
        <f t="shared" si="7"/>
        <v/>
      </c>
      <c r="AD19" s="23" t="str">
        <f t="shared" si="8"/>
        <v/>
      </c>
    </row>
    <row r="20" spans="1:30" x14ac:dyDescent="0.35">
      <c r="A20" s="14">
        <v>19</v>
      </c>
      <c r="B20" s="14" t="s">
        <v>106</v>
      </c>
      <c r="C20" s="14" t="s">
        <v>104</v>
      </c>
      <c r="D20" s="14" t="s">
        <v>102</v>
      </c>
      <c r="E20" s="14">
        <v>1</v>
      </c>
      <c r="F20" s="18"/>
      <c r="G20" s="18"/>
      <c r="H20" s="8"/>
      <c r="I20" s="19"/>
      <c r="J20" s="19"/>
      <c r="K20" s="20" t="str">
        <f t="shared" si="0"/>
        <v/>
      </c>
      <c r="L20" s="19"/>
      <c r="M20" s="19"/>
      <c r="N20" s="20" t="str">
        <f t="shared" si="1"/>
        <v/>
      </c>
      <c r="O20" s="18"/>
      <c r="P20" s="21"/>
      <c r="Q20" s="20" t="str">
        <f t="shared" si="2"/>
        <v/>
      </c>
      <c r="R20" s="18"/>
      <c r="S20" s="18"/>
      <c r="T20" s="11" t="str">
        <f>IF(K20="","",IF(COUNTIFS(Fehler!$B$2:$B$200,A20,Fehler!$I$2:$I$200,"ja")&gt;0,"ja","nein"))</f>
        <v/>
      </c>
      <c r="U20" s="18"/>
      <c r="V20" s="22"/>
      <c r="W20" s="22"/>
      <c r="X20" s="18"/>
      <c r="Y20" s="23" t="str">
        <f t="shared" si="3"/>
        <v/>
      </c>
      <c r="Z20" s="23" t="str">
        <f t="shared" si="4"/>
        <v/>
      </c>
      <c r="AA20" s="23" t="str">
        <f t="shared" si="5"/>
        <v/>
      </c>
      <c r="AB20" s="23" t="str">
        <f t="shared" si="6"/>
        <v/>
      </c>
      <c r="AC20" s="23" t="str">
        <f t="shared" si="7"/>
        <v/>
      </c>
      <c r="AD20" s="23" t="str">
        <f t="shared" si="8"/>
        <v/>
      </c>
    </row>
    <row r="21" spans="1:30" x14ac:dyDescent="0.35">
      <c r="A21" s="14">
        <v>20</v>
      </c>
      <c r="B21" s="14" t="s">
        <v>106</v>
      </c>
      <c r="C21" s="14" t="s">
        <v>104</v>
      </c>
      <c r="D21" s="14" t="s">
        <v>103</v>
      </c>
      <c r="E21" s="14">
        <v>2</v>
      </c>
      <c r="F21" s="18"/>
      <c r="G21" s="18"/>
      <c r="H21" s="8"/>
      <c r="I21" s="19"/>
      <c r="J21" s="19"/>
      <c r="K21" s="20" t="str">
        <f t="shared" si="0"/>
        <v/>
      </c>
      <c r="L21" s="19"/>
      <c r="M21" s="19"/>
      <c r="N21" s="20" t="str">
        <f t="shared" si="1"/>
        <v/>
      </c>
      <c r="O21" s="18"/>
      <c r="P21" s="21"/>
      <c r="Q21" s="20" t="str">
        <f t="shared" si="2"/>
        <v/>
      </c>
      <c r="R21" s="18"/>
      <c r="S21" s="18"/>
      <c r="T21" s="11" t="str">
        <f>IF(K21="","",IF(COUNTIFS(Fehler!$B$2:$B$200,A21,Fehler!$I$2:$I$200,"ja")&gt;0,"ja","nein"))</f>
        <v/>
      </c>
      <c r="U21" s="18"/>
      <c r="V21" s="22"/>
      <c r="W21" s="22"/>
      <c r="X21" s="18"/>
      <c r="Y21" s="23" t="str">
        <f t="shared" si="3"/>
        <v/>
      </c>
      <c r="Z21" s="23" t="str">
        <f t="shared" si="4"/>
        <v/>
      </c>
      <c r="AA21" s="23" t="str">
        <f t="shared" si="5"/>
        <v/>
      </c>
      <c r="AB21" s="23" t="str">
        <f t="shared" si="6"/>
        <v/>
      </c>
      <c r="AC21" s="23" t="str">
        <f t="shared" si="7"/>
        <v/>
      </c>
      <c r="AD21" s="23" t="str">
        <f t="shared" si="8"/>
        <v/>
      </c>
    </row>
    <row r="22" spans="1:30" x14ac:dyDescent="0.35">
      <c r="A22" s="14">
        <v>21</v>
      </c>
      <c r="B22" s="14" t="s">
        <v>106</v>
      </c>
      <c r="C22" s="14" t="s">
        <v>105</v>
      </c>
      <c r="D22" s="14" t="s">
        <v>103</v>
      </c>
      <c r="E22" s="14">
        <v>1</v>
      </c>
      <c r="F22" s="18"/>
      <c r="G22" s="18"/>
      <c r="H22" s="8"/>
      <c r="I22" s="19"/>
      <c r="J22" s="19"/>
      <c r="K22" s="20" t="str">
        <f t="shared" si="0"/>
        <v/>
      </c>
      <c r="L22" s="19"/>
      <c r="M22" s="19"/>
      <c r="N22" s="20" t="str">
        <f t="shared" si="1"/>
        <v/>
      </c>
      <c r="O22" s="18"/>
      <c r="P22" s="21"/>
      <c r="Q22" s="20" t="str">
        <f t="shared" si="2"/>
        <v/>
      </c>
      <c r="R22" s="18"/>
      <c r="S22" s="18"/>
      <c r="T22" s="11" t="str">
        <f>IF(K22="","",IF(COUNTIFS(Fehler!$B$2:$B$200,A22,Fehler!$I$2:$I$200,"ja")&gt;0,"ja","nein"))</f>
        <v/>
      </c>
      <c r="U22" s="18"/>
      <c r="V22" s="22"/>
      <c r="W22" s="22"/>
      <c r="X22" s="18"/>
      <c r="Y22" s="23" t="str">
        <f t="shared" si="3"/>
        <v/>
      </c>
      <c r="Z22" s="23" t="str">
        <f t="shared" si="4"/>
        <v/>
      </c>
      <c r="AA22" s="23" t="str">
        <f t="shared" si="5"/>
        <v/>
      </c>
      <c r="AB22" s="23" t="str">
        <f t="shared" si="6"/>
        <v/>
      </c>
      <c r="AC22" s="23" t="str">
        <f t="shared" si="7"/>
        <v/>
      </c>
      <c r="AD22" s="23" t="str">
        <f t="shared" si="8"/>
        <v/>
      </c>
    </row>
    <row r="23" spans="1:30" x14ac:dyDescent="0.35">
      <c r="A23" s="14">
        <v>22</v>
      </c>
      <c r="B23" s="14" t="s">
        <v>106</v>
      </c>
      <c r="C23" s="14" t="s">
        <v>105</v>
      </c>
      <c r="D23" s="14" t="s">
        <v>102</v>
      </c>
      <c r="E23" s="14">
        <v>2</v>
      </c>
      <c r="F23" s="18"/>
      <c r="G23" s="18"/>
      <c r="H23" s="8"/>
      <c r="I23" s="19"/>
      <c r="J23" s="19"/>
      <c r="K23" s="20" t="str">
        <f t="shared" si="0"/>
        <v/>
      </c>
      <c r="L23" s="19"/>
      <c r="M23" s="19"/>
      <c r="N23" s="20" t="str">
        <f t="shared" si="1"/>
        <v/>
      </c>
      <c r="O23" s="18"/>
      <c r="P23" s="21"/>
      <c r="Q23" s="20" t="str">
        <f t="shared" si="2"/>
        <v/>
      </c>
      <c r="R23" s="18"/>
      <c r="S23" s="18"/>
      <c r="T23" s="11" t="str">
        <f>IF(K23="","",IF(COUNTIFS(Fehler!$B$2:$B$200,A23,Fehler!$I$2:$I$200,"ja")&gt;0,"ja","nein"))</f>
        <v/>
      </c>
      <c r="U23" s="18"/>
      <c r="V23" s="22"/>
      <c r="W23" s="22"/>
      <c r="X23" s="18"/>
      <c r="Y23" s="23" t="str">
        <f t="shared" si="3"/>
        <v/>
      </c>
      <c r="Z23" s="23" t="str">
        <f t="shared" si="4"/>
        <v/>
      </c>
      <c r="AA23" s="23" t="str">
        <f t="shared" si="5"/>
        <v/>
      </c>
      <c r="AB23" s="23" t="str">
        <f t="shared" si="6"/>
        <v/>
      </c>
      <c r="AC23" s="23" t="str">
        <f t="shared" si="7"/>
        <v/>
      </c>
      <c r="AD23" s="23" t="str">
        <f t="shared" si="8"/>
        <v/>
      </c>
    </row>
    <row r="24" spans="1:30" x14ac:dyDescent="0.35">
      <c r="A24" s="14">
        <v>23</v>
      </c>
      <c r="B24" s="14" t="s">
        <v>106</v>
      </c>
      <c r="C24" s="14" t="s">
        <v>67</v>
      </c>
      <c r="D24" s="14" t="s">
        <v>102</v>
      </c>
      <c r="E24" s="14">
        <v>1</v>
      </c>
      <c r="F24" s="18"/>
      <c r="G24" s="18"/>
      <c r="H24" s="8"/>
      <c r="I24" s="19"/>
      <c r="J24" s="19"/>
      <c r="K24" s="20" t="str">
        <f t="shared" si="0"/>
        <v/>
      </c>
      <c r="L24" s="19"/>
      <c r="M24" s="19"/>
      <c r="N24" s="20" t="str">
        <f t="shared" si="1"/>
        <v/>
      </c>
      <c r="O24" s="18"/>
      <c r="P24" s="21"/>
      <c r="Q24" s="20" t="str">
        <f t="shared" si="2"/>
        <v/>
      </c>
      <c r="R24" s="18"/>
      <c r="S24" s="18"/>
      <c r="T24" s="11" t="str">
        <f>IF(K24="","",IF(COUNTIFS(Fehler!$B$2:$B$200,A24,Fehler!$I$2:$I$200,"ja")&gt;0,"ja","nein"))</f>
        <v/>
      </c>
      <c r="U24" s="18"/>
      <c r="V24" s="22"/>
      <c r="W24" s="22"/>
      <c r="X24" s="18"/>
      <c r="Y24" s="23" t="str">
        <f t="shared" si="3"/>
        <v/>
      </c>
      <c r="Z24" s="23" t="str">
        <f t="shared" si="4"/>
        <v/>
      </c>
      <c r="AA24" s="23" t="str">
        <f t="shared" si="5"/>
        <v/>
      </c>
      <c r="AB24" s="23" t="str">
        <f t="shared" si="6"/>
        <v/>
      </c>
      <c r="AC24" s="23" t="str">
        <f t="shared" si="7"/>
        <v/>
      </c>
      <c r="AD24" s="23" t="str">
        <f t="shared" si="8"/>
        <v/>
      </c>
    </row>
    <row r="25" spans="1:30" x14ac:dyDescent="0.35">
      <c r="A25" s="14">
        <v>24</v>
      </c>
      <c r="B25" s="14" t="s">
        <v>106</v>
      </c>
      <c r="C25" s="14" t="s">
        <v>67</v>
      </c>
      <c r="D25" s="14" t="s">
        <v>103</v>
      </c>
      <c r="E25" s="14">
        <v>2</v>
      </c>
      <c r="F25" s="18"/>
      <c r="G25" s="18"/>
      <c r="H25" s="8"/>
      <c r="I25" s="19"/>
      <c r="J25" s="19"/>
      <c r="K25" s="20" t="str">
        <f t="shared" si="0"/>
        <v/>
      </c>
      <c r="L25" s="19"/>
      <c r="M25" s="19"/>
      <c r="N25" s="20" t="str">
        <f t="shared" si="1"/>
        <v/>
      </c>
      <c r="O25" s="18"/>
      <c r="P25" s="21"/>
      <c r="Q25" s="20" t="str">
        <f t="shared" si="2"/>
        <v/>
      </c>
      <c r="R25" s="18"/>
      <c r="S25" s="18"/>
      <c r="T25" s="11" t="str">
        <f>IF(K25="","",IF(COUNTIFS(Fehler!$B$2:$B$200,A25,Fehler!$I$2:$I$200,"ja")&gt;0,"ja","nein"))</f>
        <v/>
      </c>
      <c r="U25" s="18"/>
      <c r="V25" s="22"/>
      <c r="W25" s="22"/>
      <c r="X25" s="18"/>
      <c r="Y25" s="23" t="str">
        <f t="shared" si="3"/>
        <v/>
      </c>
      <c r="Z25" s="23" t="str">
        <f t="shared" si="4"/>
        <v/>
      </c>
      <c r="AA25" s="23" t="str">
        <f t="shared" si="5"/>
        <v/>
      </c>
      <c r="AB25" s="23" t="str">
        <f t="shared" si="6"/>
        <v/>
      </c>
      <c r="AC25" s="23" t="str">
        <f t="shared" si="7"/>
        <v/>
      </c>
      <c r="AD25" s="23" t="str">
        <f t="shared" si="8"/>
        <v/>
      </c>
    </row>
  </sheetData>
  <dataValidations count="3">
    <dataValidation type="list" allowBlank="1" error="Bitte einen Wert aus der Liste wählen." sqref="R2:R25" xr:uid="{00000000-0002-0000-0200-000000000000}">
      <formula1>"übertragen,vorgemerkt (Automatik),manuelle Prüfung,abgelehnt,verworfen,abgebrochen"</formula1>
    </dataValidation>
    <dataValidation type="list" allowBlank="1" error="Bitte einen Wert aus der Liste wählen." sqref="O2:O25 U2:U25" xr:uid="{00000000-0002-0000-0200-000001000000}">
      <formula1>"ja,nein"</formula1>
    </dataValidation>
    <dataValidation type="list" allowBlank="1" error="Bitte einen Wert aus der Liste wählen." sqref="S2:S25" xr:uid="{00000000-0002-0000-0200-000002000000}">
      <formula1>"ja,nein,–"</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9"/>
  <sheetViews>
    <sheetView workbookViewId="0">
      <pane ySplit="1" topLeftCell="A2" activePane="bottomLeft" state="frozen"/>
      <selection pane="bottomLeft"/>
    </sheetView>
  </sheetViews>
  <sheetFormatPr baseColWidth="10" defaultColWidth="8.7265625" defaultRowHeight="14.5" x14ac:dyDescent="0.35"/>
  <cols>
    <col min="1" max="1" width="5" customWidth="1"/>
    <col min="2" max="2" width="10" customWidth="1"/>
    <col min="3" max="3" width="8" customWidth="1"/>
    <col min="4" max="4" width="7" customWidth="1"/>
    <col min="5" max="5" width="42" customWidth="1"/>
    <col min="6" max="6" width="18" customWidth="1"/>
    <col min="7" max="7" width="10" customWidth="1"/>
    <col min="8" max="8" width="22" customWidth="1"/>
    <col min="9" max="9" width="12" customWidth="1"/>
    <col min="10" max="10" width="40" customWidth="1"/>
  </cols>
  <sheetData>
    <row r="1" spans="1:10" ht="32" customHeight="1" x14ac:dyDescent="0.35">
      <c r="A1" s="17" t="s">
        <v>71</v>
      </c>
      <c r="B1" s="17" t="s">
        <v>107</v>
      </c>
      <c r="C1" s="17" t="s">
        <v>49</v>
      </c>
      <c r="D1" s="17" t="s">
        <v>73</v>
      </c>
      <c r="E1" s="17" t="s">
        <v>108</v>
      </c>
      <c r="F1" s="17" t="s">
        <v>109</v>
      </c>
      <c r="G1" s="17" t="s">
        <v>110</v>
      </c>
      <c r="H1" s="17" t="s">
        <v>111</v>
      </c>
      <c r="I1" s="17" t="s">
        <v>112</v>
      </c>
      <c r="J1" s="17" t="s">
        <v>94</v>
      </c>
    </row>
    <row r="2" spans="1:10" x14ac:dyDescent="0.35">
      <c r="A2" s="14">
        <v>1</v>
      </c>
      <c r="B2" s="18"/>
      <c r="C2" s="11" t="str">
        <f>IF(B2="","",IFERROR(INDEX(Durchläufe!$C$2:$C$25,MATCH(B2,Durchläufe!$A$2:$A$25,0)),"?"))</f>
        <v/>
      </c>
      <c r="D2" s="11" t="str">
        <f>IF(B2="","",IFERROR(INDEX(Durchläufe!$D$2:$D$25,MATCH(B2,Durchläufe!$A$2:$A$25,0)),"?"))</f>
        <v/>
      </c>
      <c r="E2" s="18"/>
      <c r="F2" s="18"/>
      <c r="G2" s="18"/>
      <c r="H2" s="18"/>
      <c r="I2" s="18"/>
      <c r="J2" s="18"/>
    </row>
    <row r="3" spans="1:10" x14ac:dyDescent="0.35">
      <c r="A3" s="14">
        <v>2</v>
      </c>
      <c r="B3" s="18"/>
      <c r="C3" s="11" t="str">
        <f>IF(B3="","",IFERROR(INDEX(Durchläufe!$C$2:$C$25,MATCH(B3,Durchläufe!$A$2:$A$25,0)),"?"))</f>
        <v/>
      </c>
      <c r="D3" s="11" t="str">
        <f>IF(B3="","",IFERROR(INDEX(Durchläufe!$D$2:$D$25,MATCH(B3,Durchläufe!$A$2:$A$25,0)),"?"))</f>
        <v/>
      </c>
      <c r="E3" s="18"/>
      <c r="F3" s="18"/>
      <c r="G3" s="18"/>
      <c r="H3" s="18"/>
      <c r="I3" s="18"/>
      <c r="J3" s="18"/>
    </row>
    <row r="4" spans="1:10" x14ac:dyDescent="0.35">
      <c r="A4" s="14">
        <v>3</v>
      </c>
      <c r="B4" s="18"/>
      <c r="C4" s="11" t="str">
        <f>IF(B4="","",IFERROR(INDEX(Durchläufe!$C$2:$C$25,MATCH(B4,Durchläufe!$A$2:$A$25,0)),"?"))</f>
        <v/>
      </c>
      <c r="D4" s="11" t="str">
        <f>IF(B4="","",IFERROR(INDEX(Durchläufe!$D$2:$D$25,MATCH(B4,Durchläufe!$A$2:$A$25,0)),"?"))</f>
        <v/>
      </c>
      <c r="E4" s="18"/>
      <c r="F4" s="18"/>
      <c r="G4" s="18"/>
      <c r="H4" s="18"/>
      <c r="I4" s="18"/>
      <c r="J4" s="18"/>
    </row>
    <row r="5" spans="1:10" x14ac:dyDescent="0.35">
      <c r="A5" s="14">
        <v>4</v>
      </c>
      <c r="B5" s="18"/>
      <c r="C5" s="11" t="str">
        <f>IF(B5="","",IFERROR(INDEX(Durchläufe!$C$2:$C$25,MATCH(B5,Durchläufe!$A$2:$A$25,0)),"?"))</f>
        <v/>
      </c>
      <c r="D5" s="11" t="str">
        <f>IF(B5="","",IFERROR(INDEX(Durchläufe!$D$2:$D$25,MATCH(B5,Durchläufe!$A$2:$A$25,0)),"?"))</f>
        <v/>
      </c>
      <c r="E5" s="18"/>
      <c r="F5" s="18"/>
      <c r="G5" s="18"/>
      <c r="H5" s="18"/>
      <c r="I5" s="18"/>
      <c r="J5" s="18"/>
    </row>
    <row r="6" spans="1:10" x14ac:dyDescent="0.35">
      <c r="A6" s="14">
        <v>5</v>
      </c>
      <c r="B6" s="18"/>
      <c r="C6" s="11" t="str">
        <f>IF(B6="","",IFERROR(INDEX(Durchläufe!$C$2:$C$25,MATCH(B6,Durchläufe!$A$2:$A$25,0)),"?"))</f>
        <v/>
      </c>
      <c r="D6" s="11" t="str">
        <f>IF(B6="","",IFERROR(INDEX(Durchläufe!$D$2:$D$25,MATCH(B6,Durchläufe!$A$2:$A$25,0)),"?"))</f>
        <v/>
      </c>
      <c r="E6" s="18"/>
      <c r="F6" s="18"/>
      <c r="G6" s="18"/>
      <c r="H6" s="18"/>
      <c r="I6" s="18"/>
      <c r="J6" s="18"/>
    </row>
    <row r="7" spans="1:10" x14ac:dyDescent="0.35">
      <c r="A7" s="14">
        <v>6</v>
      </c>
      <c r="B7" s="18"/>
      <c r="C7" s="11" t="str">
        <f>IF(B7="","",IFERROR(INDEX(Durchläufe!$C$2:$C$25,MATCH(B7,Durchläufe!$A$2:$A$25,0)),"?"))</f>
        <v/>
      </c>
      <c r="D7" s="11" t="str">
        <f>IF(B7="","",IFERROR(INDEX(Durchläufe!$D$2:$D$25,MATCH(B7,Durchläufe!$A$2:$A$25,0)),"?"))</f>
        <v/>
      </c>
      <c r="E7" s="18"/>
      <c r="F7" s="18"/>
      <c r="G7" s="18"/>
      <c r="H7" s="18"/>
      <c r="I7" s="18"/>
      <c r="J7" s="18"/>
    </row>
    <row r="8" spans="1:10" x14ac:dyDescent="0.35">
      <c r="A8" s="14">
        <v>7</v>
      </c>
      <c r="B8" s="18"/>
      <c r="C8" s="11" t="str">
        <f>IF(B8="","",IFERROR(INDEX(Durchläufe!$C$2:$C$25,MATCH(B8,Durchläufe!$A$2:$A$25,0)),"?"))</f>
        <v/>
      </c>
      <c r="D8" s="11" t="str">
        <f>IF(B8="","",IFERROR(INDEX(Durchläufe!$D$2:$D$25,MATCH(B8,Durchläufe!$A$2:$A$25,0)),"?"))</f>
        <v/>
      </c>
      <c r="E8" s="18"/>
      <c r="F8" s="18"/>
      <c r="G8" s="18"/>
      <c r="H8" s="18"/>
      <c r="I8" s="18"/>
      <c r="J8" s="18"/>
    </row>
    <row r="9" spans="1:10" x14ac:dyDescent="0.35">
      <c r="A9" s="14">
        <v>8</v>
      </c>
      <c r="B9" s="18"/>
      <c r="C9" s="11" t="str">
        <f>IF(B9="","",IFERROR(INDEX(Durchläufe!$C$2:$C$25,MATCH(B9,Durchläufe!$A$2:$A$25,0)),"?"))</f>
        <v/>
      </c>
      <c r="D9" s="11" t="str">
        <f>IF(B9="","",IFERROR(INDEX(Durchläufe!$D$2:$D$25,MATCH(B9,Durchläufe!$A$2:$A$25,0)),"?"))</f>
        <v/>
      </c>
      <c r="E9" s="18"/>
      <c r="F9" s="18"/>
      <c r="G9" s="18"/>
      <c r="H9" s="18"/>
      <c r="I9" s="18"/>
      <c r="J9" s="18"/>
    </row>
    <row r="10" spans="1:10" x14ac:dyDescent="0.35">
      <c r="A10" s="14">
        <v>9</v>
      </c>
      <c r="B10" s="18"/>
      <c r="C10" s="11" t="str">
        <f>IF(B10="","",IFERROR(INDEX(Durchläufe!$C$2:$C$25,MATCH(B10,Durchläufe!$A$2:$A$25,0)),"?"))</f>
        <v/>
      </c>
      <c r="D10" s="11" t="str">
        <f>IF(B10="","",IFERROR(INDEX(Durchläufe!$D$2:$D$25,MATCH(B10,Durchläufe!$A$2:$A$25,0)),"?"))</f>
        <v/>
      </c>
      <c r="E10" s="18"/>
      <c r="F10" s="18"/>
      <c r="G10" s="18"/>
      <c r="H10" s="18"/>
      <c r="I10" s="18"/>
      <c r="J10" s="18"/>
    </row>
    <row r="11" spans="1:10" x14ac:dyDescent="0.35">
      <c r="A11" s="14">
        <v>10</v>
      </c>
      <c r="B11" s="18"/>
      <c r="C11" s="11" t="str">
        <f>IF(B11="","",IFERROR(INDEX(Durchläufe!$C$2:$C$25,MATCH(B11,Durchläufe!$A$2:$A$25,0)),"?"))</f>
        <v/>
      </c>
      <c r="D11" s="11" t="str">
        <f>IF(B11="","",IFERROR(INDEX(Durchläufe!$D$2:$D$25,MATCH(B11,Durchläufe!$A$2:$A$25,0)),"?"))</f>
        <v/>
      </c>
      <c r="E11" s="18"/>
      <c r="F11" s="18"/>
      <c r="G11" s="18"/>
      <c r="H11" s="18"/>
      <c r="I11" s="18"/>
      <c r="J11" s="18"/>
    </row>
    <row r="12" spans="1:10" x14ac:dyDescent="0.35">
      <c r="A12" s="14">
        <v>11</v>
      </c>
      <c r="B12" s="18"/>
      <c r="C12" s="11" t="str">
        <f>IF(B12="","",IFERROR(INDEX(Durchläufe!$C$2:$C$25,MATCH(B12,Durchläufe!$A$2:$A$25,0)),"?"))</f>
        <v/>
      </c>
      <c r="D12" s="11" t="str">
        <f>IF(B12="","",IFERROR(INDEX(Durchläufe!$D$2:$D$25,MATCH(B12,Durchläufe!$A$2:$A$25,0)),"?"))</f>
        <v/>
      </c>
      <c r="E12" s="18"/>
      <c r="F12" s="18"/>
      <c r="G12" s="18"/>
      <c r="H12" s="18"/>
      <c r="I12" s="18"/>
      <c r="J12" s="18"/>
    </row>
    <row r="13" spans="1:10" x14ac:dyDescent="0.35">
      <c r="A13" s="14">
        <v>12</v>
      </c>
      <c r="B13" s="18"/>
      <c r="C13" s="11" t="str">
        <f>IF(B13="","",IFERROR(INDEX(Durchläufe!$C$2:$C$25,MATCH(B13,Durchläufe!$A$2:$A$25,0)),"?"))</f>
        <v/>
      </c>
      <c r="D13" s="11" t="str">
        <f>IF(B13="","",IFERROR(INDEX(Durchläufe!$D$2:$D$25,MATCH(B13,Durchläufe!$A$2:$A$25,0)),"?"))</f>
        <v/>
      </c>
      <c r="E13" s="18"/>
      <c r="F13" s="18"/>
      <c r="G13" s="18"/>
      <c r="H13" s="18"/>
      <c r="I13" s="18"/>
      <c r="J13" s="18"/>
    </row>
    <row r="14" spans="1:10" x14ac:dyDescent="0.35">
      <c r="A14" s="14">
        <v>13</v>
      </c>
      <c r="B14" s="18"/>
      <c r="C14" s="11" t="str">
        <f>IF(B14="","",IFERROR(INDEX(Durchläufe!$C$2:$C$25,MATCH(B14,Durchläufe!$A$2:$A$25,0)),"?"))</f>
        <v/>
      </c>
      <c r="D14" s="11" t="str">
        <f>IF(B14="","",IFERROR(INDEX(Durchläufe!$D$2:$D$25,MATCH(B14,Durchläufe!$A$2:$A$25,0)),"?"))</f>
        <v/>
      </c>
      <c r="E14" s="18"/>
      <c r="F14" s="18"/>
      <c r="G14" s="18"/>
      <c r="H14" s="18"/>
      <c r="I14" s="18"/>
      <c r="J14" s="18"/>
    </row>
    <row r="15" spans="1:10" x14ac:dyDescent="0.35">
      <c r="A15" s="14">
        <v>14</v>
      </c>
      <c r="B15" s="18"/>
      <c r="C15" s="11" t="str">
        <f>IF(B15="","",IFERROR(INDEX(Durchläufe!$C$2:$C$25,MATCH(B15,Durchläufe!$A$2:$A$25,0)),"?"))</f>
        <v/>
      </c>
      <c r="D15" s="11" t="str">
        <f>IF(B15="","",IFERROR(INDEX(Durchläufe!$D$2:$D$25,MATCH(B15,Durchläufe!$A$2:$A$25,0)),"?"))</f>
        <v/>
      </c>
      <c r="E15" s="18"/>
      <c r="F15" s="18"/>
      <c r="G15" s="18"/>
      <c r="H15" s="18"/>
      <c r="I15" s="18"/>
      <c r="J15" s="18"/>
    </row>
    <row r="16" spans="1:10" x14ac:dyDescent="0.35">
      <c r="A16" s="14">
        <v>15</v>
      </c>
      <c r="B16" s="18"/>
      <c r="C16" s="11" t="str">
        <f>IF(B16="","",IFERROR(INDEX(Durchläufe!$C$2:$C$25,MATCH(B16,Durchläufe!$A$2:$A$25,0)),"?"))</f>
        <v/>
      </c>
      <c r="D16" s="11" t="str">
        <f>IF(B16="","",IFERROR(INDEX(Durchläufe!$D$2:$D$25,MATCH(B16,Durchläufe!$A$2:$A$25,0)),"?"))</f>
        <v/>
      </c>
      <c r="E16" s="18"/>
      <c r="F16" s="18"/>
      <c r="G16" s="18"/>
      <c r="H16" s="18"/>
      <c r="I16" s="18"/>
      <c r="J16" s="18"/>
    </row>
    <row r="17" spans="1:10" x14ac:dyDescent="0.35">
      <c r="A17" s="14">
        <v>16</v>
      </c>
      <c r="B17" s="18"/>
      <c r="C17" s="11" t="str">
        <f>IF(B17="","",IFERROR(INDEX(Durchläufe!$C$2:$C$25,MATCH(B17,Durchläufe!$A$2:$A$25,0)),"?"))</f>
        <v/>
      </c>
      <c r="D17" s="11" t="str">
        <f>IF(B17="","",IFERROR(INDEX(Durchläufe!$D$2:$D$25,MATCH(B17,Durchläufe!$A$2:$A$25,0)),"?"))</f>
        <v/>
      </c>
      <c r="E17" s="18"/>
      <c r="F17" s="18"/>
      <c r="G17" s="18"/>
      <c r="H17" s="18"/>
      <c r="I17" s="18"/>
      <c r="J17" s="18"/>
    </row>
    <row r="18" spans="1:10" x14ac:dyDescent="0.35">
      <c r="A18" s="14">
        <v>17</v>
      </c>
      <c r="B18" s="18"/>
      <c r="C18" s="11" t="str">
        <f>IF(B18="","",IFERROR(INDEX(Durchläufe!$C$2:$C$25,MATCH(B18,Durchläufe!$A$2:$A$25,0)),"?"))</f>
        <v/>
      </c>
      <c r="D18" s="11" t="str">
        <f>IF(B18="","",IFERROR(INDEX(Durchläufe!$D$2:$D$25,MATCH(B18,Durchläufe!$A$2:$A$25,0)),"?"))</f>
        <v/>
      </c>
      <c r="E18" s="18"/>
      <c r="F18" s="18"/>
      <c r="G18" s="18"/>
      <c r="H18" s="18"/>
      <c r="I18" s="18"/>
      <c r="J18" s="18"/>
    </row>
    <row r="19" spans="1:10" x14ac:dyDescent="0.35">
      <c r="A19" s="14">
        <v>18</v>
      </c>
      <c r="B19" s="18"/>
      <c r="C19" s="11" t="str">
        <f>IF(B19="","",IFERROR(INDEX(Durchläufe!$C$2:$C$25,MATCH(B19,Durchläufe!$A$2:$A$25,0)),"?"))</f>
        <v/>
      </c>
      <c r="D19" s="11" t="str">
        <f>IF(B19="","",IFERROR(INDEX(Durchläufe!$D$2:$D$25,MATCH(B19,Durchläufe!$A$2:$A$25,0)),"?"))</f>
        <v/>
      </c>
      <c r="E19" s="18"/>
      <c r="F19" s="18"/>
      <c r="G19" s="18"/>
      <c r="H19" s="18"/>
      <c r="I19" s="18"/>
      <c r="J19" s="18"/>
    </row>
    <row r="20" spans="1:10" x14ac:dyDescent="0.35">
      <c r="A20" s="14">
        <v>19</v>
      </c>
      <c r="B20" s="18"/>
      <c r="C20" s="11" t="str">
        <f>IF(B20="","",IFERROR(INDEX(Durchläufe!$C$2:$C$25,MATCH(B20,Durchläufe!$A$2:$A$25,0)),"?"))</f>
        <v/>
      </c>
      <c r="D20" s="11" t="str">
        <f>IF(B20="","",IFERROR(INDEX(Durchläufe!$D$2:$D$25,MATCH(B20,Durchläufe!$A$2:$A$25,0)),"?"))</f>
        <v/>
      </c>
      <c r="E20" s="18"/>
      <c r="F20" s="18"/>
      <c r="G20" s="18"/>
      <c r="H20" s="18"/>
      <c r="I20" s="18"/>
      <c r="J20" s="18"/>
    </row>
    <row r="21" spans="1:10" x14ac:dyDescent="0.35">
      <c r="A21" s="14">
        <v>20</v>
      </c>
      <c r="B21" s="18"/>
      <c r="C21" s="11" t="str">
        <f>IF(B21="","",IFERROR(INDEX(Durchläufe!$C$2:$C$25,MATCH(B21,Durchläufe!$A$2:$A$25,0)),"?"))</f>
        <v/>
      </c>
      <c r="D21" s="11" t="str">
        <f>IF(B21="","",IFERROR(INDEX(Durchläufe!$D$2:$D$25,MATCH(B21,Durchläufe!$A$2:$A$25,0)),"?"))</f>
        <v/>
      </c>
      <c r="E21" s="18"/>
      <c r="F21" s="18"/>
      <c r="G21" s="18"/>
      <c r="H21" s="18"/>
      <c r="I21" s="18"/>
      <c r="J21" s="18"/>
    </row>
    <row r="22" spans="1:10" x14ac:dyDescent="0.35">
      <c r="A22" s="14">
        <v>21</v>
      </c>
      <c r="B22" s="18"/>
      <c r="C22" s="11" t="str">
        <f>IF(B22="","",IFERROR(INDEX(Durchläufe!$C$2:$C$25,MATCH(B22,Durchläufe!$A$2:$A$25,0)),"?"))</f>
        <v/>
      </c>
      <c r="D22" s="11" t="str">
        <f>IF(B22="","",IFERROR(INDEX(Durchläufe!$D$2:$D$25,MATCH(B22,Durchläufe!$A$2:$A$25,0)),"?"))</f>
        <v/>
      </c>
      <c r="E22" s="18"/>
      <c r="F22" s="18"/>
      <c r="G22" s="18"/>
      <c r="H22" s="18"/>
      <c r="I22" s="18"/>
      <c r="J22" s="18"/>
    </row>
    <row r="23" spans="1:10" x14ac:dyDescent="0.35">
      <c r="A23" s="14">
        <v>22</v>
      </c>
      <c r="B23" s="18"/>
      <c r="C23" s="11" t="str">
        <f>IF(B23="","",IFERROR(INDEX(Durchläufe!$C$2:$C$25,MATCH(B23,Durchläufe!$A$2:$A$25,0)),"?"))</f>
        <v/>
      </c>
      <c r="D23" s="11" t="str">
        <f>IF(B23="","",IFERROR(INDEX(Durchläufe!$D$2:$D$25,MATCH(B23,Durchläufe!$A$2:$A$25,0)),"?"))</f>
        <v/>
      </c>
      <c r="E23" s="18"/>
      <c r="F23" s="18"/>
      <c r="G23" s="18"/>
      <c r="H23" s="18"/>
      <c r="I23" s="18"/>
      <c r="J23" s="18"/>
    </row>
    <row r="24" spans="1:10" x14ac:dyDescent="0.35">
      <c r="A24" s="14">
        <v>23</v>
      </c>
      <c r="B24" s="18"/>
      <c r="C24" s="11" t="str">
        <f>IF(B24="","",IFERROR(INDEX(Durchläufe!$C$2:$C$25,MATCH(B24,Durchläufe!$A$2:$A$25,0)),"?"))</f>
        <v/>
      </c>
      <c r="D24" s="11" t="str">
        <f>IF(B24="","",IFERROR(INDEX(Durchläufe!$D$2:$D$25,MATCH(B24,Durchläufe!$A$2:$A$25,0)),"?"))</f>
        <v/>
      </c>
      <c r="E24" s="18"/>
      <c r="F24" s="18"/>
      <c r="G24" s="18"/>
      <c r="H24" s="18"/>
      <c r="I24" s="18"/>
      <c r="J24" s="18"/>
    </row>
    <row r="25" spans="1:10" x14ac:dyDescent="0.35">
      <c r="A25" s="14">
        <v>24</v>
      </c>
      <c r="B25" s="18"/>
      <c r="C25" s="11" t="str">
        <f>IF(B25="","",IFERROR(INDEX(Durchläufe!$C$2:$C$25,MATCH(B25,Durchläufe!$A$2:$A$25,0)),"?"))</f>
        <v/>
      </c>
      <c r="D25" s="11" t="str">
        <f>IF(B25="","",IFERROR(INDEX(Durchläufe!$D$2:$D$25,MATCH(B25,Durchläufe!$A$2:$A$25,0)),"?"))</f>
        <v/>
      </c>
      <c r="E25" s="18"/>
      <c r="F25" s="18"/>
      <c r="G25" s="18"/>
      <c r="H25" s="18"/>
      <c r="I25" s="18"/>
      <c r="J25" s="18"/>
    </row>
    <row r="26" spans="1:10" x14ac:dyDescent="0.35">
      <c r="A26" s="14">
        <v>25</v>
      </c>
      <c r="B26" s="18"/>
      <c r="C26" s="11" t="str">
        <f>IF(B26="","",IFERROR(INDEX(Durchläufe!$C$2:$C$25,MATCH(B26,Durchläufe!$A$2:$A$25,0)),"?"))</f>
        <v/>
      </c>
      <c r="D26" s="11" t="str">
        <f>IF(B26="","",IFERROR(INDEX(Durchläufe!$D$2:$D$25,MATCH(B26,Durchläufe!$A$2:$A$25,0)),"?"))</f>
        <v/>
      </c>
      <c r="E26" s="18"/>
      <c r="F26" s="18"/>
      <c r="G26" s="18"/>
      <c r="H26" s="18"/>
      <c r="I26" s="18"/>
      <c r="J26" s="18"/>
    </row>
    <row r="27" spans="1:10" x14ac:dyDescent="0.35">
      <c r="A27" s="14">
        <v>26</v>
      </c>
      <c r="B27" s="18"/>
      <c r="C27" s="11" t="str">
        <f>IF(B27="","",IFERROR(INDEX(Durchläufe!$C$2:$C$25,MATCH(B27,Durchläufe!$A$2:$A$25,0)),"?"))</f>
        <v/>
      </c>
      <c r="D27" s="11" t="str">
        <f>IF(B27="","",IFERROR(INDEX(Durchläufe!$D$2:$D$25,MATCH(B27,Durchläufe!$A$2:$A$25,0)),"?"))</f>
        <v/>
      </c>
      <c r="E27" s="18"/>
      <c r="F27" s="18"/>
      <c r="G27" s="18"/>
      <c r="H27" s="18"/>
      <c r="I27" s="18"/>
      <c r="J27" s="18"/>
    </row>
    <row r="28" spans="1:10" x14ac:dyDescent="0.35">
      <c r="A28" s="14">
        <v>27</v>
      </c>
      <c r="B28" s="18"/>
      <c r="C28" s="11" t="str">
        <f>IF(B28="","",IFERROR(INDEX(Durchläufe!$C$2:$C$25,MATCH(B28,Durchläufe!$A$2:$A$25,0)),"?"))</f>
        <v/>
      </c>
      <c r="D28" s="11" t="str">
        <f>IF(B28="","",IFERROR(INDEX(Durchläufe!$D$2:$D$25,MATCH(B28,Durchläufe!$A$2:$A$25,0)),"?"))</f>
        <v/>
      </c>
      <c r="E28" s="18"/>
      <c r="F28" s="18"/>
      <c r="G28" s="18"/>
      <c r="H28" s="18"/>
      <c r="I28" s="18"/>
      <c r="J28" s="18"/>
    </row>
    <row r="29" spans="1:10" x14ac:dyDescent="0.35">
      <c r="A29" s="14">
        <v>28</v>
      </c>
      <c r="B29" s="18"/>
      <c r="C29" s="11" t="str">
        <f>IF(B29="","",IFERROR(INDEX(Durchläufe!$C$2:$C$25,MATCH(B29,Durchläufe!$A$2:$A$25,0)),"?"))</f>
        <v/>
      </c>
      <c r="D29" s="11" t="str">
        <f>IF(B29="","",IFERROR(INDEX(Durchläufe!$D$2:$D$25,MATCH(B29,Durchläufe!$A$2:$A$25,0)),"?"))</f>
        <v/>
      </c>
      <c r="E29" s="18"/>
      <c r="F29" s="18"/>
      <c r="G29" s="18"/>
      <c r="H29" s="18"/>
      <c r="I29" s="18"/>
      <c r="J29" s="18"/>
    </row>
    <row r="30" spans="1:10" x14ac:dyDescent="0.35">
      <c r="A30" s="14">
        <v>29</v>
      </c>
      <c r="B30" s="18"/>
      <c r="C30" s="11" t="str">
        <f>IF(B30="","",IFERROR(INDEX(Durchläufe!$C$2:$C$25,MATCH(B30,Durchläufe!$A$2:$A$25,0)),"?"))</f>
        <v/>
      </c>
      <c r="D30" s="11" t="str">
        <f>IF(B30="","",IFERROR(INDEX(Durchläufe!$D$2:$D$25,MATCH(B30,Durchläufe!$A$2:$A$25,0)),"?"))</f>
        <v/>
      </c>
      <c r="E30" s="18"/>
      <c r="F30" s="18"/>
      <c r="G30" s="18"/>
      <c r="H30" s="18"/>
      <c r="I30" s="18"/>
      <c r="J30" s="18"/>
    </row>
    <row r="31" spans="1:10" x14ac:dyDescent="0.35">
      <c r="A31" s="14">
        <v>30</v>
      </c>
      <c r="B31" s="18"/>
      <c r="C31" s="11" t="str">
        <f>IF(B31="","",IFERROR(INDEX(Durchläufe!$C$2:$C$25,MATCH(B31,Durchläufe!$A$2:$A$25,0)),"?"))</f>
        <v/>
      </c>
      <c r="D31" s="11" t="str">
        <f>IF(B31="","",IFERROR(INDEX(Durchläufe!$D$2:$D$25,MATCH(B31,Durchläufe!$A$2:$A$25,0)),"?"))</f>
        <v/>
      </c>
      <c r="E31" s="18"/>
      <c r="F31" s="18"/>
      <c r="G31" s="18"/>
      <c r="H31" s="18"/>
      <c r="I31" s="18"/>
      <c r="J31" s="18"/>
    </row>
    <row r="32" spans="1:10" x14ac:dyDescent="0.35">
      <c r="A32" s="14">
        <v>31</v>
      </c>
      <c r="B32" s="18"/>
      <c r="C32" s="11" t="str">
        <f>IF(B32="","",IFERROR(INDEX(Durchläufe!$C$2:$C$25,MATCH(B32,Durchläufe!$A$2:$A$25,0)),"?"))</f>
        <v/>
      </c>
      <c r="D32" s="11" t="str">
        <f>IF(B32="","",IFERROR(INDEX(Durchläufe!$D$2:$D$25,MATCH(B32,Durchläufe!$A$2:$A$25,0)),"?"))</f>
        <v/>
      </c>
      <c r="E32" s="18"/>
      <c r="F32" s="18"/>
      <c r="G32" s="18"/>
      <c r="H32" s="18"/>
      <c r="I32" s="18"/>
      <c r="J32" s="18"/>
    </row>
    <row r="33" spans="1:10" x14ac:dyDescent="0.35">
      <c r="A33" s="14">
        <v>32</v>
      </c>
      <c r="B33" s="18"/>
      <c r="C33" s="11" t="str">
        <f>IF(B33="","",IFERROR(INDEX(Durchläufe!$C$2:$C$25,MATCH(B33,Durchläufe!$A$2:$A$25,0)),"?"))</f>
        <v/>
      </c>
      <c r="D33" s="11" t="str">
        <f>IF(B33="","",IFERROR(INDEX(Durchläufe!$D$2:$D$25,MATCH(B33,Durchläufe!$A$2:$A$25,0)),"?"))</f>
        <v/>
      </c>
      <c r="E33" s="18"/>
      <c r="F33" s="18"/>
      <c r="G33" s="18"/>
      <c r="H33" s="18"/>
      <c r="I33" s="18"/>
      <c r="J33" s="18"/>
    </row>
    <row r="34" spans="1:10" x14ac:dyDescent="0.35">
      <c r="A34" s="14">
        <v>33</v>
      </c>
      <c r="B34" s="18"/>
      <c r="C34" s="11" t="str">
        <f>IF(B34="","",IFERROR(INDEX(Durchläufe!$C$2:$C$25,MATCH(B34,Durchläufe!$A$2:$A$25,0)),"?"))</f>
        <v/>
      </c>
      <c r="D34" s="11" t="str">
        <f>IF(B34="","",IFERROR(INDEX(Durchläufe!$D$2:$D$25,MATCH(B34,Durchläufe!$A$2:$A$25,0)),"?"))</f>
        <v/>
      </c>
      <c r="E34" s="18"/>
      <c r="F34" s="18"/>
      <c r="G34" s="18"/>
      <c r="H34" s="18"/>
      <c r="I34" s="18"/>
      <c r="J34" s="18"/>
    </row>
    <row r="35" spans="1:10" x14ac:dyDescent="0.35">
      <c r="A35" s="14">
        <v>34</v>
      </c>
      <c r="B35" s="18"/>
      <c r="C35" s="11" t="str">
        <f>IF(B35="","",IFERROR(INDEX(Durchläufe!$C$2:$C$25,MATCH(B35,Durchläufe!$A$2:$A$25,0)),"?"))</f>
        <v/>
      </c>
      <c r="D35" s="11" t="str">
        <f>IF(B35="","",IFERROR(INDEX(Durchläufe!$D$2:$D$25,MATCH(B35,Durchläufe!$A$2:$A$25,0)),"?"))</f>
        <v/>
      </c>
      <c r="E35" s="18"/>
      <c r="F35" s="18"/>
      <c r="G35" s="18"/>
      <c r="H35" s="18"/>
      <c r="I35" s="18"/>
      <c r="J35" s="18"/>
    </row>
    <row r="36" spans="1:10" x14ac:dyDescent="0.35">
      <c r="A36" s="14">
        <v>35</v>
      </c>
      <c r="B36" s="18"/>
      <c r="C36" s="11" t="str">
        <f>IF(B36="","",IFERROR(INDEX(Durchläufe!$C$2:$C$25,MATCH(B36,Durchläufe!$A$2:$A$25,0)),"?"))</f>
        <v/>
      </c>
      <c r="D36" s="11" t="str">
        <f>IF(B36="","",IFERROR(INDEX(Durchläufe!$D$2:$D$25,MATCH(B36,Durchläufe!$A$2:$A$25,0)),"?"))</f>
        <v/>
      </c>
      <c r="E36" s="18"/>
      <c r="F36" s="18"/>
      <c r="G36" s="18"/>
      <c r="H36" s="18"/>
      <c r="I36" s="18"/>
      <c r="J36" s="18"/>
    </row>
    <row r="37" spans="1:10" x14ac:dyDescent="0.35">
      <c r="A37" s="14">
        <v>36</v>
      </c>
      <c r="B37" s="18"/>
      <c r="C37" s="11" t="str">
        <f>IF(B37="","",IFERROR(INDEX(Durchläufe!$C$2:$C$25,MATCH(B37,Durchläufe!$A$2:$A$25,0)),"?"))</f>
        <v/>
      </c>
      <c r="D37" s="11" t="str">
        <f>IF(B37="","",IFERROR(INDEX(Durchläufe!$D$2:$D$25,MATCH(B37,Durchläufe!$A$2:$A$25,0)),"?"))</f>
        <v/>
      </c>
      <c r="E37" s="18"/>
      <c r="F37" s="18"/>
      <c r="G37" s="18"/>
      <c r="H37" s="18"/>
      <c r="I37" s="18"/>
      <c r="J37" s="18"/>
    </row>
    <row r="38" spans="1:10" x14ac:dyDescent="0.35">
      <c r="A38" s="14">
        <v>37</v>
      </c>
      <c r="B38" s="18"/>
      <c r="C38" s="11" t="str">
        <f>IF(B38="","",IFERROR(INDEX(Durchläufe!$C$2:$C$25,MATCH(B38,Durchläufe!$A$2:$A$25,0)),"?"))</f>
        <v/>
      </c>
      <c r="D38" s="11" t="str">
        <f>IF(B38="","",IFERROR(INDEX(Durchläufe!$D$2:$D$25,MATCH(B38,Durchläufe!$A$2:$A$25,0)),"?"))</f>
        <v/>
      </c>
      <c r="E38" s="18"/>
      <c r="F38" s="18"/>
      <c r="G38" s="18"/>
      <c r="H38" s="18"/>
      <c r="I38" s="18"/>
      <c r="J38" s="18"/>
    </row>
    <row r="39" spans="1:10" x14ac:dyDescent="0.35">
      <c r="A39" s="14">
        <v>38</v>
      </c>
      <c r="B39" s="18"/>
      <c r="C39" s="11" t="str">
        <f>IF(B39="","",IFERROR(INDEX(Durchläufe!$C$2:$C$25,MATCH(B39,Durchläufe!$A$2:$A$25,0)),"?"))</f>
        <v/>
      </c>
      <c r="D39" s="11" t="str">
        <f>IF(B39="","",IFERROR(INDEX(Durchläufe!$D$2:$D$25,MATCH(B39,Durchläufe!$A$2:$A$25,0)),"?"))</f>
        <v/>
      </c>
      <c r="E39" s="18"/>
      <c r="F39" s="18"/>
      <c r="G39" s="18"/>
      <c r="H39" s="18"/>
      <c r="I39" s="18"/>
      <c r="J39" s="18"/>
    </row>
    <row r="40" spans="1:10" x14ac:dyDescent="0.35">
      <c r="A40" s="14">
        <v>39</v>
      </c>
      <c r="B40" s="18"/>
      <c r="C40" s="11" t="str">
        <f>IF(B40="","",IFERROR(INDEX(Durchläufe!$C$2:$C$25,MATCH(B40,Durchläufe!$A$2:$A$25,0)),"?"))</f>
        <v/>
      </c>
      <c r="D40" s="11" t="str">
        <f>IF(B40="","",IFERROR(INDEX(Durchläufe!$D$2:$D$25,MATCH(B40,Durchläufe!$A$2:$A$25,0)),"?"))</f>
        <v/>
      </c>
      <c r="E40" s="18"/>
      <c r="F40" s="18"/>
      <c r="G40" s="18"/>
      <c r="H40" s="18"/>
      <c r="I40" s="18"/>
      <c r="J40" s="18"/>
    </row>
    <row r="41" spans="1:10" x14ac:dyDescent="0.35">
      <c r="A41" s="14">
        <v>40</v>
      </c>
      <c r="B41" s="18"/>
      <c r="C41" s="11" t="str">
        <f>IF(B41="","",IFERROR(INDEX(Durchläufe!$C$2:$C$25,MATCH(B41,Durchläufe!$A$2:$A$25,0)),"?"))</f>
        <v/>
      </c>
      <c r="D41" s="11" t="str">
        <f>IF(B41="","",IFERROR(INDEX(Durchläufe!$D$2:$D$25,MATCH(B41,Durchläufe!$A$2:$A$25,0)),"?"))</f>
        <v/>
      </c>
      <c r="E41" s="18"/>
      <c r="F41" s="18"/>
      <c r="G41" s="18"/>
      <c r="H41" s="18"/>
      <c r="I41" s="18"/>
      <c r="J41" s="18"/>
    </row>
    <row r="42" spans="1:10" x14ac:dyDescent="0.35">
      <c r="A42" s="14">
        <v>41</v>
      </c>
      <c r="B42" s="18"/>
      <c r="C42" s="11" t="str">
        <f>IF(B42="","",IFERROR(INDEX(Durchläufe!$C$2:$C$25,MATCH(B42,Durchläufe!$A$2:$A$25,0)),"?"))</f>
        <v/>
      </c>
      <c r="D42" s="11" t="str">
        <f>IF(B42="","",IFERROR(INDEX(Durchläufe!$D$2:$D$25,MATCH(B42,Durchläufe!$A$2:$A$25,0)),"?"))</f>
        <v/>
      </c>
      <c r="E42" s="18"/>
      <c r="F42" s="18"/>
      <c r="G42" s="18"/>
      <c r="H42" s="18"/>
      <c r="I42" s="18"/>
      <c r="J42" s="18"/>
    </row>
    <row r="43" spans="1:10" x14ac:dyDescent="0.35">
      <c r="A43" s="14">
        <v>42</v>
      </c>
      <c r="B43" s="18"/>
      <c r="C43" s="11" t="str">
        <f>IF(B43="","",IFERROR(INDEX(Durchläufe!$C$2:$C$25,MATCH(B43,Durchläufe!$A$2:$A$25,0)),"?"))</f>
        <v/>
      </c>
      <c r="D43" s="11" t="str">
        <f>IF(B43="","",IFERROR(INDEX(Durchläufe!$D$2:$D$25,MATCH(B43,Durchläufe!$A$2:$A$25,0)),"?"))</f>
        <v/>
      </c>
      <c r="E43" s="18"/>
      <c r="F43" s="18"/>
      <c r="G43" s="18"/>
      <c r="H43" s="18"/>
      <c r="I43" s="18"/>
      <c r="J43" s="18"/>
    </row>
    <row r="44" spans="1:10" x14ac:dyDescent="0.35">
      <c r="A44" s="14">
        <v>43</v>
      </c>
      <c r="B44" s="18"/>
      <c r="C44" s="11" t="str">
        <f>IF(B44="","",IFERROR(INDEX(Durchläufe!$C$2:$C$25,MATCH(B44,Durchläufe!$A$2:$A$25,0)),"?"))</f>
        <v/>
      </c>
      <c r="D44" s="11" t="str">
        <f>IF(B44="","",IFERROR(INDEX(Durchläufe!$D$2:$D$25,MATCH(B44,Durchläufe!$A$2:$A$25,0)),"?"))</f>
        <v/>
      </c>
      <c r="E44" s="18"/>
      <c r="F44" s="18"/>
      <c r="G44" s="18"/>
      <c r="H44" s="18"/>
      <c r="I44" s="18"/>
      <c r="J44" s="18"/>
    </row>
    <row r="45" spans="1:10" x14ac:dyDescent="0.35">
      <c r="A45" s="14">
        <v>44</v>
      </c>
      <c r="B45" s="18"/>
      <c r="C45" s="11" t="str">
        <f>IF(B45="","",IFERROR(INDEX(Durchläufe!$C$2:$C$25,MATCH(B45,Durchläufe!$A$2:$A$25,0)),"?"))</f>
        <v/>
      </c>
      <c r="D45" s="11" t="str">
        <f>IF(B45="","",IFERROR(INDEX(Durchläufe!$D$2:$D$25,MATCH(B45,Durchläufe!$A$2:$A$25,0)),"?"))</f>
        <v/>
      </c>
      <c r="E45" s="18"/>
      <c r="F45" s="18"/>
      <c r="G45" s="18"/>
      <c r="H45" s="18"/>
      <c r="I45" s="18"/>
      <c r="J45" s="18"/>
    </row>
    <row r="46" spans="1:10" x14ac:dyDescent="0.35">
      <c r="A46" s="14">
        <v>45</v>
      </c>
      <c r="B46" s="18"/>
      <c r="C46" s="11" t="str">
        <f>IF(B46="","",IFERROR(INDEX(Durchläufe!$C$2:$C$25,MATCH(B46,Durchläufe!$A$2:$A$25,0)),"?"))</f>
        <v/>
      </c>
      <c r="D46" s="11" t="str">
        <f>IF(B46="","",IFERROR(INDEX(Durchläufe!$D$2:$D$25,MATCH(B46,Durchläufe!$A$2:$A$25,0)),"?"))</f>
        <v/>
      </c>
      <c r="E46" s="18"/>
      <c r="F46" s="18"/>
      <c r="G46" s="18"/>
      <c r="H46" s="18"/>
      <c r="I46" s="18"/>
      <c r="J46" s="18"/>
    </row>
    <row r="47" spans="1:10" x14ac:dyDescent="0.35">
      <c r="A47" s="14">
        <v>46</v>
      </c>
      <c r="B47" s="18"/>
      <c r="C47" s="11" t="str">
        <f>IF(B47="","",IFERROR(INDEX(Durchläufe!$C$2:$C$25,MATCH(B47,Durchläufe!$A$2:$A$25,0)),"?"))</f>
        <v/>
      </c>
      <c r="D47" s="11" t="str">
        <f>IF(B47="","",IFERROR(INDEX(Durchläufe!$D$2:$D$25,MATCH(B47,Durchläufe!$A$2:$A$25,0)),"?"))</f>
        <v/>
      </c>
      <c r="E47" s="18"/>
      <c r="F47" s="18"/>
      <c r="G47" s="18"/>
      <c r="H47" s="18"/>
      <c r="I47" s="18"/>
      <c r="J47" s="18"/>
    </row>
    <row r="48" spans="1:10" x14ac:dyDescent="0.35">
      <c r="A48" s="14">
        <v>47</v>
      </c>
      <c r="B48" s="18"/>
      <c r="C48" s="11" t="str">
        <f>IF(B48="","",IFERROR(INDEX(Durchläufe!$C$2:$C$25,MATCH(B48,Durchläufe!$A$2:$A$25,0)),"?"))</f>
        <v/>
      </c>
      <c r="D48" s="11" t="str">
        <f>IF(B48="","",IFERROR(INDEX(Durchläufe!$D$2:$D$25,MATCH(B48,Durchläufe!$A$2:$A$25,0)),"?"))</f>
        <v/>
      </c>
      <c r="E48" s="18"/>
      <c r="F48" s="18"/>
      <c r="G48" s="18"/>
      <c r="H48" s="18"/>
      <c r="I48" s="18"/>
      <c r="J48" s="18"/>
    </row>
    <row r="49" spans="1:10" x14ac:dyDescent="0.35">
      <c r="A49" s="14">
        <v>48</v>
      </c>
      <c r="B49" s="18"/>
      <c r="C49" s="11" t="str">
        <f>IF(B49="","",IFERROR(INDEX(Durchläufe!$C$2:$C$25,MATCH(B49,Durchläufe!$A$2:$A$25,0)),"?"))</f>
        <v/>
      </c>
      <c r="D49" s="11" t="str">
        <f>IF(B49="","",IFERROR(INDEX(Durchläufe!$D$2:$D$25,MATCH(B49,Durchläufe!$A$2:$A$25,0)),"?"))</f>
        <v/>
      </c>
      <c r="E49" s="18"/>
      <c r="F49" s="18"/>
      <c r="G49" s="18"/>
      <c r="H49" s="18"/>
      <c r="I49" s="18"/>
      <c r="J49" s="18"/>
    </row>
    <row r="50" spans="1:10" x14ac:dyDescent="0.35">
      <c r="A50" s="14">
        <v>49</v>
      </c>
      <c r="B50" s="18"/>
      <c r="C50" s="11" t="str">
        <f>IF(B50="","",IFERROR(INDEX(Durchläufe!$C$2:$C$25,MATCH(B50,Durchläufe!$A$2:$A$25,0)),"?"))</f>
        <v/>
      </c>
      <c r="D50" s="11" t="str">
        <f>IF(B50="","",IFERROR(INDEX(Durchläufe!$D$2:$D$25,MATCH(B50,Durchläufe!$A$2:$A$25,0)),"?"))</f>
        <v/>
      </c>
      <c r="E50" s="18"/>
      <c r="F50" s="18"/>
      <c r="G50" s="18"/>
      <c r="H50" s="18"/>
      <c r="I50" s="18"/>
      <c r="J50" s="18"/>
    </row>
    <row r="51" spans="1:10" x14ac:dyDescent="0.35">
      <c r="A51" s="14">
        <v>50</v>
      </c>
      <c r="B51" s="18"/>
      <c r="C51" s="11" t="str">
        <f>IF(B51="","",IFERROR(INDEX(Durchläufe!$C$2:$C$25,MATCH(B51,Durchläufe!$A$2:$A$25,0)),"?"))</f>
        <v/>
      </c>
      <c r="D51" s="11" t="str">
        <f>IF(B51="","",IFERROR(INDEX(Durchläufe!$D$2:$D$25,MATCH(B51,Durchläufe!$A$2:$A$25,0)),"?"))</f>
        <v/>
      </c>
      <c r="E51" s="18"/>
      <c r="F51" s="18"/>
      <c r="G51" s="18"/>
      <c r="H51" s="18"/>
      <c r="I51" s="18"/>
      <c r="J51" s="18"/>
    </row>
    <row r="52" spans="1:10" x14ac:dyDescent="0.35">
      <c r="A52" s="14">
        <v>51</v>
      </c>
      <c r="B52" s="18"/>
      <c r="C52" s="11" t="str">
        <f>IF(B52="","",IFERROR(INDEX(Durchläufe!$C$2:$C$25,MATCH(B52,Durchläufe!$A$2:$A$25,0)),"?"))</f>
        <v/>
      </c>
      <c r="D52" s="11" t="str">
        <f>IF(B52="","",IFERROR(INDEX(Durchläufe!$D$2:$D$25,MATCH(B52,Durchläufe!$A$2:$A$25,0)),"?"))</f>
        <v/>
      </c>
      <c r="E52" s="18"/>
      <c r="F52" s="18"/>
      <c r="G52" s="18"/>
      <c r="H52" s="18"/>
      <c r="I52" s="18"/>
      <c r="J52" s="18"/>
    </row>
    <row r="53" spans="1:10" x14ac:dyDescent="0.35">
      <c r="A53" s="14">
        <v>52</v>
      </c>
      <c r="B53" s="18"/>
      <c r="C53" s="11" t="str">
        <f>IF(B53="","",IFERROR(INDEX(Durchläufe!$C$2:$C$25,MATCH(B53,Durchläufe!$A$2:$A$25,0)),"?"))</f>
        <v/>
      </c>
      <c r="D53" s="11" t="str">
        <f>IF(B53="","",IFERROR(INDEX(Durchläufe!$D$2:$D$25,MATCH(B53,Durchläufe!$A$2:$A$25,0)),"?"))</f>
        <v/>
      </c>
      <c r="E53" s="18"/>
      <c r="F53" s="18"/>
      <c r="G53" s="18"/>
      <c r="H53" s="18"/>
      <c r="I53" s="18"/>
      <c r="J53" s="18"/>
    </row>
    <row r="54" spans="1:10" x14ac:dyDescent="0.35">
      <c r="A54" s="14">
        <v>53</v>
      </c>
      <c r="B54" s="18"/>
      <c r="C54" s="11" t="str">
        <f>IF(B54="","",IFERROR(INDEX(Durchläufe!$C$2:$C$25,MATCH(B54,Durchläufe!$A$2:$A$25,0)),"?"))</f>
        <v/>
      </c>
      <c r="D54" s="11" t="str">
        <f>IF(B54="","",IFERROR(INDEX(Durchläufe!$D$2:$D$25,MATCH(B54,Durchläufe!$A$2:$A$25,0)),"?"))</f>
        <v/>
      </c>
      <c r="E54" s="18"/>
      <c r="F54" s="18"/>
      <c r="G54" s="18"/>
      <c r="H54" s="18"/>
      <c r="I54" s="18"/>
      <c r="J54" s="18"/>
    </row>
    <row r="55" spans="1:10" x14ac:dyDescent="0.35">
      <c r="A55" s="14">
        <v>54</v>
      </c>
      <c r="B55" s="18"/>
      <c r="C55" s="11" t="str">
        <f>IF(B55="","",IFERROR(INDEX(Durchläufe!$C$2:$C$25,MATCH(B55,Durchläufe!$A$2:$A$25,0)),"?"))</f>
        <v/>
      </c>
      <c r="D55" s="11" t="str">
        <f>IF(B55="","",IFERROR(INDEX(Durchläufe!$D$2:$D$25,MATCH(B55,Durchläufe!$A$2:$A$25,0)),"?"))</f>
        <v/>
      </c>
      <c r="E55" s="18"/>
      <c r="F55" s="18"/>
      <c r="G55" s="18"/>
      <c r="H55" s="18"/>
      <c r="I55" s="18"/>
      <c r="J55" s="18"/>
    </row>
    <row r="56" spans="1:10" x14ac:dyDescent="0.35">
      <c r="A56" s="14">
        <v>55</v>
      </c>
      <c r="B56" s="18"/>
      <c r="C56" s="11" t="str">
        <f>IF(B56="","",IFERROR(INDEX(Durchläufe!$C$2:$C$25,MATCH(B56,Durchläufe!$A$2:$A$25,0)),"?"))</f>
        <v/>
      </c>
      <c r="D56" s="11" t="str">
        <f>IF(B56="","",IFERROR(INDEX(Durchläufe!$D$2:$D$25,MATCH(B56,Durchläufe!$A$2:$A$25,0)),"?"))</f>
        <v/>
      </c>
      <c r="E56" s="18"/>
      <c r="F56" s="18"/>
      <c r="G56" s="18"/>
      <c r="H56" s="18"/>
      <c r="I56" s="18"/>
      <c r="J56" s="18"/>
    </row>
    <row r="57" spans="1:10" x14ac:dyDescent="0.35">
      <c r="A57" s="14">
        <v>56</v>
      </c>
      <c r="B57" s="18"/>
      <c r="C57" s="11" t="str">
        <f>IF(B57="","",IFERROR(INDEX(Durchläufe!$C$2:$C$25,MATCH(B57,Durchläufe!$A$2:$A$25,0)),"?"))</f>
        <v/>
      </c>
      <c r="D57" s="11" t="str">
        <f>IF(B57="","",IFERROR(INDEX(Durchläufe!$D$2:$D$25,MATCH(B57,Durchläufe!$A$2:$A$25,0)),"?"))</f>
        <v/>
      </c>
      <c r="E57" s="18"/>
      <c r="F57" s="18"/>
      <c r="G57" s="18"/>
      <c r="H57" s="18"/>
      <c r="I57" s="18"/>
      <c r="J57" s="18"/>
    </row>
    <row r="58" spans="1:10" x14ac:dyDescent="0.35">
      <c r="A58" s="14">
        <v>57</v>
      </c>
      <c r="B58" s="18"/>
      <c r="C58" s="11" t="str">
        <f>IF(B58="","",IFERROR(INDEX(Durchläufe!$C$2:$C$25,MATCH(B58,Durchläufe!$A$2:$A$25,0)),"?"))</f>
        <v/>
      </c>
      <c r="D58" s="11" t="str">
        <f>IF(B58="","",IFERROR(INDEX(Durchläufe!$D$2:$D$25,MATCH(B58,Durchläufe!$A$2:$A$25,0)),"?"))</f>
        <v/>
      </c>
      <c r="E58" s="18"/>
      <c r="F58" s="18"/>
      <c r="G58" s="18"/>
      <c r="H58" s="18"/>
      <c r="I58" s="18"/>
      <c r="J58" s="18"/>
    </row>
    <row r="59" spans="1:10" x14ac:dyDescent="0.35">
      <c r="A59" s="14">
        <v>58</v>
      </c>
      <c r="B59" s="18"/>
      <c r="C59" s="11" t="str">
        <f>IF(B59="","",IFERROR(INDEX(Durchläufe!$C$2:$C$25,MATCH(B59,Durchläufe!$A$2:$A$25,0)),"?"))</f>
        <v/>
      </c>
      <c r="D59" s="11" t="str">
        <f>IF(B59="","",IFERROR(INDEX(Durchläufe!$D$2:$D$25,MATCH(B59,Durchläufe!$A$2:$A$25,0)),"?"))</f>
        <v/>
      </c>
      <c r="E59" s="18"/>
      <c r="F59" s="18"/>
      <c r="G59" s="18"/>
      <c r="H59" s="18"/>
      <c r="I59" s="18"/>
      <c r="J59" s="18"/>
    </row>
    <row r="60" spans="1:10" x14ac:dyDescent="0.35">
      <c r="A60" s="14">
        <v>59</v>
      </c>
      <c r="B60" s="18"/>
      <c r="C60" s="11" t="str">
        <f>IF(B60="","",IFERROR(INDEX(Durchläufe!$C$2:$C$25,MATCH(B60,Durchläufe!$A$2:$A$25,0)),"?"))</f>
        <v/>
      </c>
      <c r="D60" s="11" t="str">
        <f>IF(B60="","",IFERROR(INDEX(Durchläufe!$D$2:$D$25,MATCH(B60,Durchläufe!$A$2:$A$25,0)),"?"))</f>
        <v/>
      </c>
      <c r="E60" s="18"/>
      <c r="F60" s="18"/>
      <c r="G60" s="18"/>
      <c r="H60" s="18"/>
      <c r="I60" s="18"/>
      <c r="J60" s="18"/>
    </row>
    <row r="61" spans="1:10" x14ac:dyDescent="0.35">
      <c r="A61" s="14">
        <v>60</v>
      </c>
      <c r="B61" s="18"/>
      <c r="C61" s="11" t="str">
        <f>IF(B61="","",IFERROR(INDEX(Durchläufe!$C$2:$C$25,MATCH(B61,Durchläufe!$A$2:$A$25,0)),"?"))</f>
        <v/>
      </c>
      <c r="D61" s="11" t="str">
        <f>IF(B61="","",IFERROR(INDEX(Durchläufe!$D$2:$D$25,MATCH(B61,Durchläufe!$A$2:$A$25,0)),"?"))</f>
        <v/>
      </c>
      <c r="E61" s="18"/>
      <c r="F61" s="18"/>
      <c r="G61" s="18"/>
      <c r="H61" s="18"/>
      <c r="I61" s="18"/>
      <c r="J61" s="18"/>
    </row>
    <row r="62" spans="1:10" x14ac:dyDescent="0.35">
      <c r="A62" s="14">
        <v>61</v>
      </c>
      <c r="B62" s="18"/>
      <c r="C62" s="11" t="str">
        <f>IF(B62="","",IFERROR(INDEX(Durchläufe!$C$2:$C$25,MATCH(B62,Durchläufe!$A$2:$A$25,0)),"?"))</f>
        <v/>
      </c>
      <c r="D62" s="11" t="str">
        <f>IF(B62="","",IFERROR(INDEX(Durchläufe!$D$2:$D$25,MATCH(B62,Durchläufe!$A$2:$A$25,0)),"?"))</f>
        <v/>
      </c>
      <c r="E62" s="18"/>
      <c r="F62" s="18"/>
      <c r="G62" s="18"/>
      <c r="H62" s="18"/>
      <c r="I62" s="18"/>
      <c r="J62" s="18"/>
    </row>
    <row r="63" spans="1:10" x14ac:dyDescent="0.35">
      <c r="A63" s="14">
        <v>62</v>
      </c>
      <c r="B63" s="18"/>
      <c r="C63" s="11" t="str">
        <f>IF(B63="","",IFERROR(INDEX(Durchläufe!$C$2:$C$25,MATCH(B63,Durchläufe!$A$2:$A$25,0)),"?"))</f>
        <v/>
      </c>
      <c r="D63" s="11" t="str">
        <f>IF(B63="","",IFERROR(INDEX(Durchläufe!$D$2:$D$25,MATCH(B63,Durchläufe!$A$2:$A$25,0)),"?"))</f>
        <v/>
      </c>
      <c r="E63" s="18"/>
      <c r="F63" s="18"/>
      <c r="G63" s="18"/>
      <c r="H63" s="18"/>
      <c r="I63" s="18"/>
      <c r="J63" s="18"/>
    </row>
    <row r="64" spans="1:10" x14ac:dyDescent="0.35">
      <c r="A64" s="14">
        <v>63</v>
      </c>
      <c r="B64" s="18"/>
      <c r="C64" s="11" t="str">
        <f>IF(B64="","",IFERROR(INDEX(Durchläufe!$C$2:$C$25,MATCH(B64,Durchläufe!$A$2:$A$25,0)),"?"))</f>
        <v/>
      </c>
      <c r="D64" s="11" t="str">
        <f>IF(B64="","",IFERROR(INDEX(Durchläufe!$D$2:$D$25,MATCH(B64,Durchläufe!$A$2:$A$25,0)),"?"))</f>
        <v/>
      </c>
      <c r="E64" s="18"/>
      <c r="F64" s="18"/>
      <c r="G64" s="18"/>
      <c r="H64" s="18"/>
      <c r="I64" s="18"/>
      <c r="J64" s="18"/>
    </row>
    <row r="65" spans="1:10" x14ac:dyDescent="0.35">
      <c r="A65" s="14">
        <v>64</v>
      </c>
      <c r="B65" s="18"/>
      <c r="C65" s="11" t="str">
        <f>IF(B65="","",IFERROR(INDEX(Durchläufe!$C$2:$C$25,MATCH(B65,Durchläufe!$A$2:$A$25,0)),"?"))</f>
        <v/>
      </c>
      <c r="D65" s="11" t="str">
        <f>IF(B65="","",IFERROR(INDEX(Durchläufe!$D$2:$D$25,MATCH(B65,Durchläufe!$A$2:$A$25,0)),"?"))</f>
        <v/>
      </c>
      <c r="E65" s="18"/>
      <c r="F65" s="18"/>
      <c r="G65" s="18"/>
      <c r="H65" s="18"/>
      <c r="I65" s="18"/>
      <c r="J65" s="18"/>
    </row>
    <row r="66" spans="1:10" x14ac:dyDescent="0.35">
      <c r="A66" s="14">
        <v>65</v>
      </c>
      <c r="B66" s="18"/>
      <c r="C66" s="11" t="str">
        <f>IF(B66="","",IFERROR(INDEX(Durchläufe!$C$2:$C$25,MATCH(B66,Durchläufe!$A$2:$A$25,0)),"?"))</f>
        <v/>
      </c>
      <c r="D66" s="11" t="str">
        <f>IF(B66="","",IFERROR(INDEX(Durchläufe!$D$2:$D$25,MATCH(B66,Durchläufe!$A$2:$A$25,0)),"?"))</f>
        <v/>
      </c>
      <c r="E66" s="18"/>
      <c r="F66" s="18"/>
      <c r="G66" s="18"/>
      <c r="H66" s="18"/>
      <c r="I66" s="18"/>
      <c r="J66" s="18"/>
    </row>
    <row r="67" spans="1:10" x14ac:dyDescent="0.35">
      <c r="A67" s="14">
        <v>66</v>
      </c>
      <c r="B67" s="18"/>
      <c r="C67" s="11" t="str">
        <f>IF(B67="","",IFERROR(INDEX(Durchläufe!$C$2:$C$25,MATCH(B67,Durchläufe!$A$2:$A$25,0)),"?"))</f>
        <v/>
      </c>
      <c r="D67" s="11" t="str">
        <f>IF(B67="","",IFERROR(INDEX(Durchläufe!$D$2:$D$25,MATCH(B67,Durchläufe!$A$2:$A$25,0)),"?"))</f>
        <v/>
      </c>
      <c r="E67" s="18"/>
      <c r="F67" s="18"/>
      <c r="G67" s="18"/>
      <c r="H67" s="18"/>
      <c r="I67" s="18"/>
      <c r="J67" s="18"/>
    </row>
    <row r="68" spans="1:10" x14ac:dyDescent="0.35">
      <c r="A68" s="14">
        <v>67</v>
      </c>
      <c r="B68" s="18"/>
      <c r="C68" s="11" t="str">
        <f>IF(B68="","",IFERROR(INDEX(Durchläufe!$C$2:$C$25,MATCH(B68,Durchläufe!$A$2:$A$25,0)),"?"))</f>
        <v/>
      </c>
      <c r="D68" s="11" t="str">
        <f>IF(B68="","",IFERROR(INDEX(Durchläufe!$D$2:$D$25,MATCH(B68,Durchläufe!$A$2:$A$25,0)),"?"))</f>
        <v/>
      </c>
      <c r="E68" s="18"/>
      <c r="F68" s="18"/>
      <c r="G68" s="18"/>
      <c r="H68" s="18"/>
      <c r="I68" s="18"/>
      <c r="J68" s="18"/>
    </row>
    <row r="69" spans="1:10" x14ac:dyDescent="0.35">
      <c r="A69" s="14">
        <v>68</v>
      </c>
      <c r="B69" s="18"/>
      <c r="C69" s="11" t="str">
        <f>IF(B69="","",IFERROR(INDEX(Durchläufe!$C$2:$C$25,MATCH(B69,Durchläufe!$A$2:$A$25,0)),"?"))</f>
        <v/>
      </c>
      <c r="D69" s="11" t="str">
        <f>IF(B69="","",IFERROR(INDEX(Durchläufe!$D$2:$D$25,MATCH(B69,Durchläufe!$A$2:$A$25,0)),"?"))</f>
        <v/>
      </c>
      <c r="E69" s="18"/>
      <c r="F69" s="18"/>
      <c r="G69" s="18"/>
      <c r="H69" s="18"/>
      <c r="I69" s="18"/>
      <c r="J69" s="18"/>
    </row>
    <row r="70" spans="1:10" x14ac:dyDescent="0.35">
      <c r="A70" s="14">
        <v>69</v>
      </c>
      <c r="B70" s="18"/>
      <c r="C70" s="11" t="str">
        <f>IF(B70="","",IFERROR(INDEX(Durchläufe!$C$2:$C$25,MATCH(B70,Durchläufe!$A$2:$A$25,0)),"?"))</f>
        <v/>
      </c>
      <c r="D70" s="11" t="str">
        <f>IF(B70="","",IFERROR(INDEX(Durchläufe!$D$2:$D$25,MATCH(B70,Durchläufe!$A$2:$A$25,0)),"?"))</f>
        <v/>
      </c>
      <c r="E70" s="18"/>
      <c r="F70" s="18"/>
      <c r="G70" s="18"/>
      <c r="H70" s="18"/>
      <c r="I70" s="18"/>
      <c r="J70" s="18"/>
    </row>
    <row r="71" spans="1:10" x14ac:dyDescent="0.35">
      <c r="A71" s="14">
        <v>70</v>
      </c>
      <c r="B71" s="18"/>
      <c r="C71" s="11" t="str">
        <f>IF(B71="","",IFERROR(INDEX(Durchläufe!$C$2:$C$25,MATCH(B71,Durchläufe!$A$2:$A$25,0)),"?"))</f>
        <v/>
      </c>
      <c r="D71" s="11" t="str">
        <f>IF(B71="","",IFERROR(INDEX(Durchläufe!$D$2:$D$25,MATCH(B71,Durchläufe!$A$2:$A$25,0)),"?"))</f>
        <v/>
      </c>
      <c r="E71" s="18"/>
      <c r="F71" s="18"/>
      <c r="G71" s="18"/>
      <c r="H71" s="18"/>
      <c r="I71" s="18"/>
      <c r="J71" s="18"/>
    </row>
    <row r="72" spans="1:10" x14ac:dyDescent="0.35">
      <c r="A72" s="14">
        <v>71</v>
      </c>
      <c r="B72" s="18"/>
      <c r="C72" s="11" t="str">
        <f>IF(B72="","",IFERROR(INDEX(Durchläufe!$C$2:$C$25,MATCH(B72,Durchläufe!$A$2:$A$25,0)),"?"))</f>
        <v/>
      </c>
      <c r="D72" s="11" t="str">
        <f>IF(B72="","",IFERROR(INDEX(Durchläufe!$D$2:$D$25,MATCH(B72,Durchläufe!$A$2:$A$25,0)),"?"))</f>
        <v/>
      </c>
      <c r="E72" s="18"/>
      <c r="F72" s="18"/>
      <c r="G72" s="18"/>
      <c r="H72" s="18"/>
      <c r="I72" s="18"/>
      <c r="J72" s="18"/>
    </row>
    <row r="73" spans="1:10" x14ac:dyDescent="0.35">
      <c r="A73" s="14">
        <v>72</v>
      </c>
      <c r="B73" s="18"/>
      <c r="C73" s="11" t="str">
        <f>IF(B73="","",IFERROR(INDEX(Durchläufe!$C$2:$C$25,MATCH(B73,Durchläufe!$A$2:$A$25,0)),"?"))</f>
        <v/>
      </c>
      <c r="D73" s="11" t="str">
        <f>IF(B73="","",IFERROR(INDEX(Durchläufe!$D$2:$D$25,MATCH(B73,Durchläufe!$A$2:$A$25,0)),"?"))</f>
        <v/>
      </c>
      <c r="E73" s="18"/>
      <c r="F73" s="18"/>
      <c r="G73" s="18"/>
      <c r="H73" s="18"/>
      <c r="I73" s="18"/>
      <c r="J73" s="18"/>
    </row>
    <row r="74" spans="1:10" x14ac:dyDescent="0.35">
      <c r="A74" s="14">
        <v>73</v>
      </c>
      <c r="B74" s="18"/>
      <c r="C74" s="11" t="str">
        <f>IF(B74="","",IFERROR(INDEX(Durchläufe!$C$2:$C$25,MATCH(B74,Durchläufe!$A$2:$A$25,0)),"?"))</f>
        <v/>
      </c>
      <c r="D74" s="11" t="str">
        <f>IF(B74="","",IFERROR(INDEX(Durchläufe!$D$2:$D$25,MATCH(B74,Durchläufe!$A$2:$A$25,0)),"?"))</f>
        <v/>
      </c>
      <c r="E74" s="18"/>
      <c r="F74" s="18"/>
      <c r="G74" s="18"/>
      <c r="H74" s="18"/>
      <c r="I74" s="18"/>
      <c r="J74" s="18"/>
    </row>
    <row r="75" spans="1:10" x14ac:dyDescent="0.35">
      <c r="A75" s="14">
        <v>74</v>
      </c>
      <c r="B75" s="18"/>
      <c r="C75" s="11" t="str">
        <f>IF(B75="","",IFERROR(INDEX(Durchläufe!$C$2:$C$25,MATCH(B75,Durchläufe!$A$2:$A$25,0)),"?"))</f>
        <v/>
      </c>
      <c r="D75" s="11" t="str">
        <f>IF(B75="","",IFERROR(INDEX(Durchläufe!$D$2:$D$25,MATCH(B75,Durchläufe!$A$2:$A$25,0)),"?"))</f>
        <v/>
      </c>
      <c r="E75" s="18"/>
      <c r="F75" s="18"/>
      <c r="G75" s="18"/>
      <c r="H75" s="18"/>
      <c r="I75" s="18"/>
      <c r="J75" s="18"/>
    </row>
    <row r="76" spans="1:10" x14ac:dyDescent="0.35">
      <c r="A76" s="14">
        <v>75</v>
      </c>
      <c r="B76" s="18"/>
      <c r="C76" s="11" t="str">
        <f>IF(B76="","",IFERROR(INDEX(Durchläufe!$C$2:$C$25,MATCH(B76,Durchläufe!$A$2:$A$25,0)),"?"))</f>
        <v/>
      </c>
      <c r="D76" s="11" t="str">
        <f>IF(B76="","",IFERROR(INDEX(Durchläufe!$D$2:$D$25,MATCH(B76,Durchläufe!$A$2:$A$25,0)),"?"))</f>
        <v/>
      </c>
      <c r="E76" s="18"/>
      <c r="F76" s="18"/>
      <c r="G76" s="18"/>
      <c r="H76" s="18"/>
      <c r="I76" s="18"/>
      <c r="J76" s="18"/>
    </row>
    <row r="77" spans="1:10" x14ac:dyDescent="0.35">
      <c r="A77" s="14">
        <v>76</v>
      </c>
      <c r="B77" s="18"/>
      <c r="C77" s="11" t="str">
        <f>IF(B77="","",IFERROR(INDEX(Durchläufe!$C$2:$C$25,MATCH(B77,Durchläufe!$A$2:$A$25,0)),"?"))</f>
        <v/>
      </c>
      <c r="D77" s="11" t="str">
        <f>IF(B77="","",IFERROR(INDEX(Durchläufe!$D$2:$D$25,MATCH(B77,Durchläufe!$A$2:$A$25,0)),"?"))</f>
        <v/>
      </c>
      <c r="E77" s="18"/>
      <c r="F77" s="18"/>
      <c r="G77" s="18"/>
      <c r="H77" s="18"/>
      <c r="I77" s="18"/>
      <c r="J77" s="18"/>
    </row>
    <row r="78" spans="1:10" x14ac:dyDescent="0.35">
      <c r="A78" s="14">
        <v>77</v>
      </c>
      <c r="B78" s="18"/>
      <c r="C78" s="11" t="str">
        <f>IF(B78="","",IFERROR(INDEX(Durchläufe!$C$2:$C$25,MATCH(B78,Durchläufe!$A$2:$A$25,0)),"?"))</f>
        <v/>
      </c>
      <c r="D78" s="11" t="str">
        <f>IF(B78="","",IFERROR(INDEX(Durchläufe!$D$2:$D$25,MATCH(B78,Durchläufe!$A$2:$A$25,0)),"?"))</f>
        <v/>
      </c>
      <c r="E78" s="18"/>
      <c r="F78" s="18"/>
      <c r="G78" s="18"/>
      <c r="H78" s="18"/>
      <c r="I78" s="18"/>
      <c r="J78" s="18"/>
    </row>
    <row r="79" spans="1:10" x14ac:dyDescent="0.35">
      <c r="A79" s="14">
        <v>78</v>
      </c>
      <c r="B79" s="18"/>
      <c r="C79" s="11" t="str">
        <f>IF(B79="","",IFERROR(INDEX(Durchläufe!$C$2:$C$25,MATCH(B79,Durchläufe!$A$2:$A$25,0)),"?"))</f>
        <v/>
      </c>
      <c r="D79" s="11" t="str">
        <f>IF(B79="","",IFERROR(INDEX(Durchläufe!$D$2:$D$25,MATCH(B79,Durchläufe!$A$2:$A$25,0)),"?"))</f>
        <v/>
      </c>
      <c r="E79" s="18"/>
      <c r="F79" s="18"/>
      <c r="G79" s="18"/>
      <c r="H79" s="18"/>
      <c r="I79" s="18"/>
      <c r="J79" s="18"/>
    </row>
    <row r="80" spans="1:10" x14ac:dyDescent="0.35">
      <c r="A80" s="14">
        <v>79</v>
      </c>
      <c r="B80" s="18"/>
      <c r="C80" s="11" t="str">
        <f>IF(B80="","",IFERROR(INDEX(Durchläufe!$C$2:$C$25,MATCH(B80,Durchläufe!$A$2:$A$25,0)),"?"))</f>
        <v/>
      </c>
      <c r="D80" s="11" t="str">
        <f>IF(B80="","",IFERROR(INDEX(Durchläufe!$D$2:$D$25,MATCH(B80,Durchläufe!$A$2:$A$25,0)),"?"))</f>
        <v/>
      </c>
      <c r="E80" s="18"/>
      <c r="F80" s="18"/>
      <c r="G80" s="18"/>
      <c r="H80" s="18"/>
      <c r="I80" s="18"/>
      <c r="J80" s="18"/>
    </row>
    <row r="81" spans="1:10" x14ac:dyDescent="0.35">
      <c r="A81" s="14">
        <v>80</v>
      </c>
      <c r="B81" s="18"/>
      <c r="C81" s="11" t="str">
        <f>IF(B81="","",IFERROR(INDEX(Durchläufe!$C$2:$C$25,MATCH(B81,Durchläufe!$A$2:$A$25,0)),"?"))</f>
        <v/>
      </c>
      <c r="D81" s="11" t="str">
        <f>IF(B81="","",IFERROR(INDEX(Durchläufe!$D$2:$D$25,MATCH(B81,Durchläufe!$A$2:$A$25,0)),"?"))</f>
        <v/>
      </c>
      <c r="E81" s="18"/>
      <c r="F81" s="18"/>
      <c r="G81" s="18"/>
      <c r="H81" s="18"/>
      <c r="I81" s="18"/>
      <c r="J81" s="18"/>
    </row>
    <row r="82" spans="1:10" x14ac:dyDescent="0.35">
      <c r="A82" s="14">
        <v>81</v>
      </c>
      <c r="B82" s="18"/>
      <c r="C82" s="11" t="str">
        <f>IF(B82="","",IFERROR(INDEX(Durchläufe!$C$2:$C$25,MATCH(B82,Durchläufe!$A$2:$A$25,0)),"?"))</f>
        <v/>
      </c>
      <c r="D82" s="11" t="str">
        <f>IF(B82="","",IFERROR(INDEX(Durchläufe!$D$2:$D$25,MATCH(B82,Durchläufe!$A$2:$A$25,0)),"?"))</f>
        <v/>
      </c>
      <c r="E82" s="18"/>
      <c r="F82" s="18"/>
      <c r="G82" s="18"/>
      <c r="H82" s="18"/>
      <c r="I82" s="18"/>
      <c r="J82" s="18"/>
    </row>
    <row r="83" spans="1:10" x14ac:dyDescent="0.35">
      <c r="A83" s="14">
        <v>82</v>
      </c>
      <c r="B83" s="18"/>
      <c r="C83" s="11" t="str">
        <f>IF(B83="","",IFERROR(INDEX(Durchläufe!$C$2:$C$25,MATCH(B83,Durchläufe!$A$2:$A$25,0)),"?"))</f>
        <v/>
      </c>
      <c r="D83" s="11" t="str">
        <f>IF(B83="","",IFERROR(INDEX(Durchläufe!$D$2:$D$25,MATCH(B83,Durchläufe!$A$2:$A$25,0)),"?"))</f>
        <v/>
      </c>
      <c r="E83" s="18"/>
      <c r="F83" s="18"/>
      <c r="G83" s="18"/>
      <c r="H83" s="18"/>
      <c r="I83" s="18"/>
      <c r="J83" s="18"/>
    </row>
    <row r="84" spans="1:10" x14ac:dyDescent="0.35">
      <c r="A84" s="14">
        <v>83</v>
      </c>
      <c r="B84" s="18"/>
      <c r="C84" s="11" t="str">
        <f>IF(B84="","",IFERROR(INDEX(Durchläufe!$C$2:$C$25,MATCH(B84,Durchläufe!$A$2:$A$25,0)),"?"))</f>
        <v/>
      </c>
      <c r="D84" s="11" t="str">
        <f>IF(B84="","",IFERROR(INDEX(Durchläufe!$D$2:$D$25,MATCH(B84,Durchläufe!$A$2:$A$25,0)),"?"))</f>
        <v/>
      </c>
      <c r="E84" s="18"/>
      <c r="F84" s="18"/>
      <c r="G84" s="18"/>
      <c r="H84" s="18"/>
      <c r="I84" s="18"/>
      <c r="J84" s="18"/>
    </row>
    <row r="85" spans="1:10" x14ac:dyDescent="0.35">
      <c r="A85" s="14">
        <v>84</v>
      </c>
      <c r="B85" s="18"/>
      <c r="C85" s="11" t="str">
        <f>IF(B85="","",IFERROR(INDEX(Durchläufe!$C$2:$C$25,MATCH(B85,Durchläufe!$A$2:$A$25,0)),"?"))</f>
        <v/>
      </c>
      <c r="D85" s="11" t="str">
        <f>IF(B85="","",IFERROR(INDEX(Durchläufe!$D$2:$D$25,MATCH(B85,Durchläufe!$A$2:$A$25,0)),"?"))</f>
        <v/>
      </c>
      <c r="E85" s="18"/>
      <c r="F85" s="18"/>
      <c r="G85" s="18"/>
      <c r="H85" s="18"/>
      <c r="I85" s="18"/>
      <c r="J85" s="18"/>
    </row>
    <row r="86" spans="1:10" x14ac:dyDescent="0.35">
      <c r="A86" s="14">
        <v>85</v>
      </c>
      <c r="B86" s="18"/>
      <c r="C86" s="11" t="str">
        <f>IF(B86="","",IFERROR(INDEX(Durchläufe!$C$2:$C$25,MATCH(B86,Durchläufe!$A$2:$A$25,0)),"?"))</f>
        <v/>
      </c>
      <c r="D86" s="11" t="str">
        <f>IF(B86="","",IFERROR(INDEX(Durchläufe!$D$2:$D$25,MATCH(B86,Durchläufe!$A$2:$A$25,0)),"?"))</f>
        <v/>
      </c>
      <c r="E86" s="18"/>
      <c r="F86" s="18"/>
      <c r="G86" s="18"/>
      <c r="H86" s="18"/>
      <c r="I86" s="18"/>
      <c r="J86" s="18"/>
    </row>
    <row r="87" spans="1:10" x14ac:dyDescent="0.35">
      <c r="A87" s="14">
        <v>86</v>
      </c>
      <c r="B87" s="18"/>
      <c r="C87" s="11" t="str">
        <f>IF(B87="","",IFERROR(INDEX(Durchläufe!$C$2:$C$25,MATCH(B87,Durchläufe!$A$2:$A$25,0)),"?"))</f>
        <v/>
      </c>
      <c r="D87" s="11" t="str">
        <f>IF(B87="","",IFERROR(INDEX(Durchläufe!$D$2:$D$25,MATCH(B87,Durchläufe!$A$2:$A$25,0)),"?"))</f>
        <v/>
      </c>
      <c r="E87" s="18"/>
      <c r="F87" s="18"/>
      <c r="G87" s="18"/>
      <c r="H87" s="18"/>
      <c r="I87" s="18"/>
      <c r="J87" s="18"/>
    </row>
    <row r="88" spans="1:10" x14ac:dyDescent="0.35">
      <c r="A88" s="14">
        <v>87</v>
      </c>
      <c r="B88" s="18"/>
      <c r="C88" s="11" t="str">
        <f>IF(B88="","",IFERROR(INDEX(Durchläufe!$C$2:$C$25,MATCH(B88,Durchläufe!$A$2:$A$25,0)),"?"))</f>
        <v/>
      </c>
      <c r="D88" s="11" t="str">
        <f>IF(B88="","",IFERROR(INDEX(Durchläufe!$D$2:$D$25,MATCH(B88,Durchläufe!$A$2:$A$25,0)),"?"))</f>
        <v/>
      </c>
      <c r="E88" s="18"/>
      <c r="F88" s="18"/>
      <c r="G88" s="18"/>
      <c r="H88" s="18"/>
      <c r="I88" s="18"/>
      <c r="J88" s="18"/>
    </row>
    <row r="89" spans="1:10" x14ac:dyDescent="0.35">
      <c r="A89" s="14">
        <v>88</v>
      </c>
      <c r="B89" s="18"/>
      <c r="C89" s="11" t="str">
        <f>IF(B89="","",IFERROR(INDEX(Durchläufe!$C$2:$C$25,MATCH(B89,Durchläufe!$A$2:$A$25,0)),"?"))</f>
        <v/>
      </c>
      <c r="D89" s="11" t="str">
        <f>IF(B89="","",IFERROR(INDEX(Durchläufe!$D$2:$D$25,MATCH(B89,Durchläufe!$A$2:$A$25,0)),"?"))</f>
        <v/>
      </c>
      <c r="E89" s="18"/>
      <c r="F89" s="18"/>
      <c r="G89" s="18"/>
      <c r="H89" s="18"/>
      <c r="I89" s="18"/>
      <c r="J89" s="18"/>
    </row>
    <row r="90" spans="1:10" x14ac:dyDescent="0.35">
      <c r="A90" s="14">
        <v>89</v>
      </c>
      <c r="B90" s="18"/>
      <c r="C90" s="11" t="str">
        <f>IF(B90="","",IFERROR(INDEX(Durchläufe!$C$2:$C$25,MATCH(B90,Durchläufe!$A$2:$A$25,0)),"?"))</f>
        <v/>
      </c>
      <c r="D90" s="11" t="str">
        <f>IF(B90="","",IFERROR(INDEX(Durchläufe!$D$2:$D$25,MATCH(B90,Durchläufe!$A$2:$A$25,0)),"?"))</f>
        <v/>
      </c>
      <c r="E90" s="18"/>
      <c r="F90" s="18"/>
      <c r="G90" s="18"/>
      <c r="H90" s="18"/>
      <c r="I90" s="18"/>
      <c r="J90" s="18"/>
    </row>
    <row r="91" spans="1:10" x14ac:dyDescent="0.35">
      <c r="A91" s="14">
        <v>90</v>
      </c>
      <c r="B91" s="18"/>
      <c r="C91" s="11" t="str">
        <f>IF(B91="","",IFERROR(INDEX(Durchläufe!$C$2:$C$25,MATCH(B91,Durchläufe!$A$2:$A$25,0)),"?"))</f>
        <v/>
      </c>
      <c r="D91" s="11" t="str">
        <f>IF(B91="","",IFERROR(INDEX(Durchläufe!$D$2:$D$25,MATCH(B91,Durchläufe!$A$2:$A$25,0)),"?"))</f>
        <v/>
      </c>
      <c r="E91" s="18"/>
      <c r="F91" s="18"/>
      <c r="G91" s="18"/>
      <c r="H91" s="18"/>
      <c r="I91" s="18"/>
      <c r="J91" s="18"/>
    </row>
    <row r="92" spans="1:10" x14ac:dyDescent="0.35">
      <c r="A92" s="14">
        <v>91</v>
      </c>
      <c r="B92" s="18"/>
      <c r="C92" s="11" t="str">
        <f>IF(B92="","",IFERROR(INDEX(Durchläufe!$C$2:$C$25,MATCH(B92,Durchläufe!$A$2:$A$25,0)),"?"))</f>
        <v/>
      </c>
      <c r="D92" s="11" t="str">
        <f>IF(B92="","",IFERROR(INDEX(Durchläufe!$D$2:$D$25,MATCH(B92,Durchläufe!$A$2:$A$25,0)),"?"))</f>
        <v/>
      </c>
      <c r="E92" s="18"/>
      <c r="F92" s="18"/>
      <c r="G92" s="18"/>
      <c r="H92" s="18"/>
      <c r="I92" s="18"/>
      <c r="J92" s="18"/>
    </row>
    <row r="93" spans="1:10" x14ac:dyDescent="0.35">
      <c r="A93" s="14">
        <v>92</v>
      </c>
      <c r="B93" s="18"/>
      <c r="C93" s="11" t="str">
        <f>IF(B93="","",IFERROR(INDEX(Durchläufe!$C$2:$C$25,MATCH(B93,Durchläufe!$A$2:$A$25,0)),"?"))</f>
        <v/>
      </c>
      <c r="D93" s="11" t="str">
        <f>IF(B93="","",IFERROR(INDEX(Durchläufe!$D$2:$D$25,MATCH(B93,Durchläufe!$A$2:$A$25,0)),"?"))</f>
        <v/>
      </c>
      <c r="E93" s="18"/>
      <c r="F93" s="18"/>
      <c r="G93" s="18"/>
      <c r="H93" s="18"/>
      <c r="I93" s="18"/>
      <c r="J93" s="18"/>
    </row>
    <row r="94" spans="1:10" x14ac:dyDescent="0.35">
      <c r="A94" s="14">
        <v>93</v>
      </c>
      <c r="B94" s="18"/>
      <c r="C94" s="11" t="str">
        <f>IF(B94="","",IFERROR(INDEX(Durchläufe!$C$2:$C$25,MATCH(B94,Durchläufe!$A$2:$A$25,0)),"?"))</f>
        <v/>
      </c>
      <c r="D94" s="11" t="str">
        <f>IF(B94="","",IFERROR(INDEX(Durchläufe!$D$2:$D$25,MATCH(B94,Durchläufe!$A$2:$A$25,0)),"?"))</f>
        <v/>
      </c>
      <c r="E94" s="18"/>
      <c r="F94" s="18"/>
      <c r="G94" s="18"/>
      <c r="H94" s="18"/>
      <c r="I94" s="18"/>
      <c r="J94" s="18"/>
    </row>
    <row r="95" spans="1:10" x14ac:dyDescent="0.35">
      <c r="A95" s="14">
        <v>94</v>
      </c>
      <c r="B95" s="18"/>
      <c r="C95" s="11" t="str">
        <f>IF(B95="","",IFERROR(INDEX(Durchläufe!$C$2:$C$25,MATCH(B95,Durchläufe!$A$2:$A$25,0)),"?"))</f>
        <v/>
      </c>
      <c r="D95" s="11" t="str">
        <f>IF(B95="","",IFERROR(INDEX(Durchläufe!$D$2:$D$25,MATCH(B95,Durchläufe!$A$2:$A$25,0)),"?"))</f>
        <v/>
      </c>
      <c r="E95" s="18"/>
      <c r="F95" s="18"/>
      <c r="G95" s="18"/>
      <c r="H95" s="18"/>
      <c r="I95" s="18"/>
      <c r="J95" s="18"/>
    </row>
    <row r="96" spans="1:10" x14ac:dyDescent="0.35">
      <c r="A96" s="14">
        <v>95</v>
      </c>
      <c r="B96" s="18"/>
      <c r="C96" s="11" t="str">
        <f>IF(B96="","",IFERROR(INDEX(Durchläufe!$C$2:$C$25,MATCH(B96,Durchläufe!$A$2:$A$25,0)),"?"))</f>
        <v/>
      </c>
      <c r="D96" s="11" t="str">
        <f>IF(B96="","",IFERROR(INDEX(Durchläufe!$D$2:$D$25,MATCH(B96,Durchläufe!$A$2:$A$25,0)),"?"))</f>
        <v/>
      </c>
      <c r="E96" s="18"/>
      <c r="F96" s="18"/>
      <c r="G96" s="18"/>
      <c r="H96" s="18"/>
      <c r="I96" s="18"/>
      <c r="J96" s="18"/>
    </row>
    <row r="97" spans="1:10" x14ac:dyDescent="0.35">
      <c r="A97" s="14">
        <v>96</v>
      </c>
      <c r="B97" s="18"/>
      <c r="C97" s="11" t="str">
        <f>IF(B97="","",IFERROR(INDEX(Durchläufe!$C$2:$C$25,MATCH(B97,Durchläufe!$A$2:$A$25,0)),"?"))</f>
        <v/>
      </c>
      <c r="D97" s="11" t="str">
        <f>IF(B97="","",IFERROR(INDEX(Durchläufe!$D$2:$D$25,MATCH(B97,Durchläufe!$A$2:$A$25,0)),"?"))</f>
        <v/>
      </c>
      <c r="E97" s="18"/>
      <c r="F97" s="18"/>
      <c r="G97" s="18"/>
      <c r="H97" s="18"/>
      <c r="I97" s="18"/>
      <c r="J97" s="18"/>
    </row>
    <row r="98" spans="1:10" x14ac:dyDescent="0.35">
      <c r="A98" s="14">
        <v>97</v>
      </c>
      <c r="B98" s="18"/>
      <c r="C98" s="11" t="str">
        <f>IF(B98="","",IFERROR(INDEX(Durchläufe!$C$2:$C$25,MATCH(B98,Durchläufe!$A$2:$A$25,0)),"?"))</f>
        <v/>
      </c>
      <c r="D98" s="11" t="str">
        <f>IF(B98="","",IFERROR(INDEX(Durchläufe!$D$2:$D$25,MATCH(B98,Durchläufe!$A$2:$A$25,0)),"?"))</f>
        <v/>
      </c>
      <c r="E98" s="18"/>
      <c r="F98" s="18"/>
      <c r="G98" s="18"/>
      <c r="H98" s="18"/>
      <c r="I98" s="18"/>
      <c r="J98" s="18"/>
    </row>
    <row r="99" spans="1:10" x14ac:dyDescent="0.35">
      <c r="A99" s="14">
        <v>98</v>
      </c>
      <c r="B99" s="18"/>
      <c r="C99" s="11" t="str">
        <f>IF(B99="","",IFERROR(INDEX(Durchläufe!$C$2:$C$25,MATCH(B99,Durchläufe!$A$2:$A$25,0)),"?"))</f>
        <v/>
      </c>
      <c r="D99" s="11" t="str">
        <f>IF(B99="","",IFERROR(INDEX(Durchläufe!$D$2:$D$25,MATCH(B99,Durchläufe!$A$2:$A$25,0)),"?"))</f>
        <v/>
      </c>
      <c r="E99" s="18"/>
      <c r="F99" s="18"/>
      <c r="G99" s="18"/>
      <c r="H99" s="18"/>
      <c r="I99" s="18"/>
      <c r="J99" s="18"/>
    </row>
    <row r="100" spans="1:10" x14ac:dyDescent="0.35">
      <c r="A100" s="14">
        <v>99</v>
      </c>
      <c r="B100" s="18"/>
      <c r="C100" s="11" t="str">
        <f>IF(B100="","",IFERROR(INDEX(Durchläufe!$C$2:$C$25,MATCH(B100,Durchläufe!$A$2:$A$25,0)),"?"))</f>
        <v/>
      </c>
      <c r="D100" s="11" t="str">
        <f>IF(B100="","",IFERROR(INDEX(Durchläufe!$D$2:$D$25,MATCH(B100,Durchläufe!$A$2:$A$25,0)),"?"))</f>
        <v/>
      </c>
      <c r="E100" s="18"/>
      <c r="F100" s="18"/>
      <c r="G100" s="18"/>
      <c r="H100" s="18"/>
      <c r="I100" s="18"/>
      <c r="J100" s="18"/>
    </row>
    <row r="101" spans="1:10" x14ac:dyDescent="0.35">
      <c r="A101" s="14">
        <v>100</v>
      </c>
      <c r="B101" s="18"/>
      <c r="C101" s="11" t="str">
        <f>IF(B101="","",IFERROR(INDEX(Durchläufe!$C$2:$C$25,MATCH(B101,Durchläufe!$A$2:$A$25,0)),"?"))</f>
        <v/>
      </c>
      <c r="D101" s="11" t="str">
        <f>IF(B101="","",IFERROR(INDEX(Durchläufe!$D$2:$D$25,MATCH(B101,Durchläufe!$A$2:$A$25,0)),"?"))</f>
        <v/>
      </c>
      <c r="E101" s="18"/>
      <c r="F101" s="18"/>
      <c r="G101" s="18"/>
      <c r="H101" s="18"/>
      <c r="I101" s="18"/>
      <c r="J101" s="18"/>
    </row>
    <row r="102" spans="1:10" x14ac:dyDescent="0.35">
      <c r="A102" s="14">
        <v>101</v>
      </c>
      <c r="B102" s="18"/>
      <c r="C102" s="11" t="str">
        <f>IF(B102="","",IFERROR(INDEX(Durchläufe!$C$2:$C$25,MATCH(B102,Durchläufe!$A$2:$A$25,0)),"?"))</f>
        <v/>
      </c>
      <c r="D102" s="11" t="str">
        <f>IF(B102="","",IFERROR(INDEX(Durchläufe!$D$2:$D$25,MATCH(B102,Durchläufe!$A$2:$A$25,0)),"?"))</f>
        <v/>
      </c>
      <c r="E102" s="18"/>
      <c r="F102" s="18"/>
      <c r="G102" s="18"/>
      <c r="H102" s="18"/>
      <c r="I102" s="18"/>
      <c r="J102" s="18"/>
    </row>
    <row r="103" spans="1:10" x14ac:dyDescent="0.35">
      <c r="A103" s="14">
        <v>102</v>
      </c>
      <c r="B103" s="18"/>
      <c r="C103" s="11" t="str">
        <f>IF(B103="","",IFERROR(INDEX(Durchläufe!$C$2:$C$25,MATCH(B103,Durchläufe!$A$2:$A$25,0)),"?"))</f>
        <v/>
      </c>
      <c r="D103" s="11" t="str">
        <f>IF(B103="","",IFERROR(INDEX(Durchläufe!$D$2:$D$25,MATCH(B103,Durchläufe!$A$2:$A$25,0)),"?"))</f>
        <v/>
      </c>
      <c r="E103" s="18"/>
      <c r="F103" s="18"/>
      <c r="G103" s="18"/>
      <c r="H103" s="18"/>
      <c r="I103" s="18"/>
      <c r="J103" s="18"/>
    </row>
    <row r="104" spans="1:10" x14ac:dyDescent="0.35">
      <c r="A104" s="14">
        <v>103</v>
      </c>
      <c r="B104" s="18"/>
      <c r="C104" s="11" t="str">
        <f>IF(B104="","",IFERROR(INDEX(Durchläufe!$C$2:$C$25,MATCH(B104,Durchläufe!$A$2:$A$25,0)),"?"))</f>
        <v/>
      </c>
      <c r="D104" s="11" t="str">
        <f>IF(B104="","",IFERROR(INDEX(Durchläufe!$D$2:$D$25,MATCH(B104,Durchläufe!$A$2:$A$25,0)),"?"))</f>
        <v/>
      </c>
      <c r="E104" s="18"/>
      <c r="F104" s="18"/>
      <c r="G104" s="18"/>
      <c r="H104" s="18"/>
      <c r="I104" s="18"/>
      <c r="J104" s="18"/>
    </row>
    <row r="105" spans="1:10" x14ac:dyDescent="0.35">
      <c r="A105" s="14">
        <v>104</v>
      </c>
      <c r="B105" s="18"/>
      <c r="C105" s="11" t="str">
        <f>IF(B105="","",IFERROR(INDEX(Durchläufe!$C$2:$C$25,MATCH(B105,Durchläufe!$A$2:$A$25,0)),"?"))</f>
        <v/>
      </c>
      <c r="D105" s="11" t="str">
        <f>IF(B105="","",IFERROR(INDEX(Durchläufe!$D$2:$D$25,MATCH(B105,Durchläufe!$A$2:$A$25,0)),"?"))</f>
        <v/>
      </c>
      <c r="E105" s="18"/>
      <c r="F105" s="18"/>
      <c r="G105" s="18"/>
      <c r="H105" s="18"/>
      <c r="I105" s="18"/>
      <c r="J105" s="18"/>
    </row>
    <row r="106" spans="1:10" x14ac:dyDescent="0.35">
      <c r="A106" s="14">
        <v>105</v>
      </c>
      <c r="B106" s="18"/>
      <c r="C106" s="11" t="str">
        <f>IF(B106="","",IFERROR(INDEX(Durchläufe!$C$2:$C$25,MATCH(B106,Durchläufe!$A$2:$A$25,0)),"?"))</f>
        <v/>
      </c>
      <c r="D106" s="11" t="str">
        <f>IF(B106="","",IFERROR(INDEX(Durchläufe!$D$2:$D$25,MATCH(B106,Durchläufe!$A$2:$A$25,0)),"?"))</f>
        <v/>
      </c>
      <c r="E106" s="18"/>
      <c r="F106" s="18"/>
      <c r="G106" s="18"/>
      <c r="H106" s="18"/>
      <c r="I106" s="18"/>
      <c r="J106" s="18"/>
    </row>
    <row r="107" spans="1:10" x14ac:dyDescent="0.35">
      <c r="A107" s="14">
        <v>106</v>
      </c>
      <c r="B107" s="18"/>
      <c r="C107" s="11" t="str">
        <f>IF(B107="","",IFERROR(INDEX(Durchläufe!$C$2:$C$25,MATCH(B107,Durchläufe!$A$2:$A$25,0)),"?"))</f>
        <v/>
      </c>
      <c r="D107" s="11" t="str">
        <f>IF(B107="","",IFERROR(INDEX(Durchläufe!$D$2:$D$25,MATCH(B107,Durchläufe!$A$2:$A$25,0)),"?"))</f>
        <v/>
      </c>
      <c r="E107" s="18"/>
      <c r="F107" s="18"/>
      <c r="G107" s="18"/>
      <c r="H107" s="18"/>
      <c r="I107" s="18"/>
      <c r="J107" s="18"/>
    </row>
    <row r="108" spans="1:10" x14ac:dyDescent="0.35">
      <c r="A108" s="14">
        <v>107</v>
      </c>
      <c r="B108" s="18"/>
      <c r="C108" s="11" t="str">
        <f>IF(B108="","",IFERROR(INDEX(Durchläufe!$C$2:$C$25,MATCH(B108,Durchläufe!$A$2:$A$25,0)),"?"))</f>
        <v/>
      </c>
      <c r="D108" s="11" t="str">
        <f>IF(B108="","",IFERROR(INDEX(Durchläufe!$D$2:$D$25,MATCH(B108,Durchläufe!$A$2:$A$25,0)),"?"))</f>
        <v/>
      </c>
      <c r="E108" s="18"/>
      <c r="F108" s="18"/>
      <c r="G108" s="18"/>
      <c r="H108" s="18"/>
      <c r="I108" s="18"/>
      <c r="J108" s="18"/>
    </row>
    <row r="109" spans="1:10" x14ac:dyDescent="0.35">
      <c r="A109" s="14">
        <v>108</v>
      </c>
      <c r="B109" s="18"/>
      <c r="C109" s="11" t="str">
        <f>IF(B109="","",IFERROR(INDEX(Durchläufe!$C$2:$C$25,MATCH(B109,Durchläufe!$A$2:$A$25,0)),"?"))</f>
        <v/>
      </c>
      <c r="D109" s="11" t="str">
        <f>IF(B109="","",IFERROR(INDEX(Durchläufe!$D$2:$D$25,MATCH(B109,Durchläufe!$A$2:$A$25,0)),"?"))</f>
        <v/>
      </c>
      <c r="E109" s="18"/>
      <c r="F109" s="18"/>
      <c r="G109" s="18"/>
      <c r="H109" s="18"/>
      <c r="I109" s="18"/>
      <c r="J109" s="18"/>
    </row>
    <row r="110" spans="1:10" x14ac:dyDescent="0.35">
      <c r="A110" s="14">
        <v>109</v>
      </c>
      <c r="B110" s="18"/>
      <c r="C110" s="11" t="str">
        <f>IF(B110="","",IFERROR(INDEX(Durchläufe!$C$2:$C$25,MATCH(B110,Durchläufe!$A$2:$A$25,0)),"?"))</f>
        <v/>
      </c>
      <c r="D110" s="11" t="str">
        <f>IF(B110="","",IFERROR(INDEX(Durchläufe!$D$2:$D$25,MATCH(B110,Durchläufe!$A$2:$A$25,0)),"?"))</f>
        <v/>
      </c>
      <c r="E110" s="18"/>
      <c r="F110" s="18"/>
      <c r="G110" s="18"/>
      <c r="H110" s="18"/>
      <c r="I110" s="18"/>
      <c r="J110" s="18"/>
    </row>
    <row r="111" spans="1:10" x14ac:dyDescent="0.35">
      <c r="A111" s="14">
        <v>110</v>
      </c>
      <c r="B111" s="18"/>
      <c r="C111" s="11" t="str">
        <f>IF(B111="","",IFERROR(INDEX(Durchläufe!$C$2:$C$25,MATCH(B111,Durchläufe!$A$2:$A$25,0)),"?"))</f>
        <v/>
      </c>
      <c r="D111" s="11" t="str">
        <f>IF(B111="","",IFERROR(INDEX(Durchläufe!$D$2:$D$25,MATCH(B111,Durchläufe!$A$2:$A$25,0)),"?"))</f>
        <v/>
      </c>
      <c r="E111" s="18"/>
      <c r="F111" s="18"/>
      <c r="G111" s="18"/>
      <c r="H111" s="18"/>
      <c r="I111" s="18"/>
      <c r="J111" s="18"/>
    </row>
    <row r="112" spans="1:10" x14ac:dyDescent="0.35">
      <c r="A112" s="14">
        <v>111</v>
      </c>
      <c r="B112" s="18"/>
      <c r="C112" s="11" t="str">
        <f>IF(B112="","",IFERROR(INDEX(Durchläufe!$C$2:$C$25,MATCH(B112,Durchläufe!$A$2:$A$25,0)),"?"))</f>
        <v/>
      </c>
      <c r="D112" s="11" t="str">
        <f>IF(B112="","",IFERROR(INDEX(Durchläufe!$D$2:$D$25,MATCH(B112,Durchläufe!$A$2:$A$25,0)),"?"))</f>
        <v/>
      </c>
      <c r="E112" s="18"/>
      <c r="F112" s="18"/>
      <c r="G112" s="18"/>
      <c r="H112" s="18"/>
      <c r="I112" s="18"/>
      <c r="J112" s="18"/>
    </row>
    <row r="113" spans="1:10" x14ac:dyDescent="0.35">
      <c r="A113" s="14">
        <v>112</v>
      </c>
      <c r="B113" s="18"/>
      <c r="C113" s="11" t="str">
        <f>IF(B113="","",IFERROR(INDEX(Durchläufe!$C$2:$C$25,MATCH(B113,Durchläufe!$A$2:$A$25,0)),"?"))</f>
        <v/>
      </c>
      <c r="D113" s="11" t="str">
        <f>IF(B113="","",IFERROR(INDEX(Durchläufe!$D$2:$D$25,MATCH(B113,Durchläufe!$A$2:$A$25,0)),"?"))</f>
        <v/>
      </c>
      <c r="E113" s="18"/>
      <c r="F113" s="18"/>
      <c r="G113" s="18"/>
      <c r="H113" s="18"/>
      <c r="I113" s="18"/>
      <c r="J113" s="18"/>
    </row>
    <row r="114" spans="1:10" x14ac:dyDescent="0.35">
      <c r="A114" s="14">
        <v>113</v>
      </c>
      <c r="B114" s="18"/>
      <c r="C114" s="11" t="str">
        <f>IF(B114="","",IFERROR(INDEX(Durchläufe!$C$2:$C$25,MATCH(B114,Durchläufe!$A$2:$A$25,0)),"?"))</f>
        <v/>
      </c>
      <c r="D114" s="11" t="str">
        <f>IF(B114="","",IFERROR(INDEX(Durchläufe!$D$2:$D$25,MATCH(B114,Durchläufe!$A$2:$A$25,0)),"?"))</f>
        <v/>
      </c>
      <c r="E114" s="18"/>
      <c r="F114" s="18"/>
      <c r="G114" s="18"/>
      <c r="H114" s="18"/>
      <c r="I114" s="18"/>
      <c r="J114" s="18"/>
    </row>
    <row r="115" spans="1:10" x14ac:dyDescent="0.35">
      <c r="A115" s="14">
        <v>114</v>
      </c>
      <c r="B115" s="18"/>
      <c r="C115" s="11" t="str">
        <f>IF(B115="","",IFERROR(INDEX(Durchläufe!$C$2:$C$25,MATCH(B115,Durchläufe!$A$2:$A$25,0)),"?"))</f>
        <v/>
      </c>
      <c r="D115" s="11" t="str">
        <f>IF(B115="","",IFERROR(INDEX(Durchläufe!$D$2:$D$25,MATCH(B115,Durchläufe!$A$2:$A$25,0)),"?"))</f>
        <v/>
      </c>
      <c r="E115" s="18"/>
      <c r="F115" s="18"/>
      <c r="G115" s="18"/>
      <c r="H115" s="18"/>
      <c r="I115" s="18"/>
      <c r="J115" s="18"/>
    </row>
    <row r="116" spans="1:10" x14ac:dyDescent="0.35">
      <c r="A116" s="14">
        <v>115</v>
      </c>
      <c r="B116" s="18"/>
      <c r="C116" s="11" t="str">
        <f>IF(B116="","",IFERROR(INDEX(Durchläufe!$C$2:$C$25,MATCH(B116,Durchläufe!$A$2:$A$25,0)),"?"))</f>
        <v/>
      </c>
      <c r="D116" s="11" t="str">
        <f>IF(B116="","",IFERROR(INDEX(Durchläufe!$D$2:$D$25,MATCH(B116,Durchläufe!$A$2:$A$25,0)),"?"))</f>
        <v/>
      </c>
      <c r="E116" s="18"/>
      <c r="F116" s="18"/>
      <c r="G116" s="18"/>
      <c r="H116" s="18"/>
      <c r="I116" s="18"/>
      <c r="J116" s="18"/>
    </row>
    <row r="117" spans="1:10" x14ac:dyDescent="0.35">
      <c r="A117" s="14">
        <v>116</v>
      </c>
      <c r="B117" s="18"/>
      <c r="C117" s="11" t="str">
        <f>IF(B117="","",IFERROR(INDEX(Durchläufe!$C$2:$C$25,MATCH(B117,Durchläufe!$A$2:$A$25,0)),"?"))</f>
        <v/>
      </c>
      <c r="D117" s="11" t="str">
        <f>IF(B117="","",IFERROR(INDEX(Durchläufe!$D$2:$D$25,MATCH(B117,Durchläufe!$A$2:$A$25,0)),"?"))</f>
        <v/>
      </c>
      <c r="E117" s="18"/>
      <c r="F117" s="18"/>
      <c r="G117" s="18"/>
      <c r="H117" s="18"/>
      <c r="I117" s="18"/>
      <c r="J117" s="18"/>
    </row>
    <row r="118" spans="1:10" x14ac:dyDescent="0.35">
      <c r="A118" s="14">
        <v>117</v>
      </c>
      <c r="B118" s="18"/>
      <c r="C118" s="11" t="str">
        <f>IF(B118="","",IFERROR(INDEX(Durchläufe!$C$2:$C$25,MATCH(B118,Durchläufe!$A$2:$A$25,0)),"?"))</f>
        <v/>
      </c>
      <c r="D118" s="11" t="str">
        <f>IF(B118="","",IFERROR(INDEX(Durchläufe!$D$2:$D$25,MATCH(B118,Durchläufe!$A$2:$A$25,0)),"?"))</f>
        <v/>
      </c>
      <c r="E118" s="18"/>
      <c r="F118" s="18"/>
      <c r="G118" s="18"/>
      <c r="H118" s="18"/>
      <c r="I118" s="18"/>
      <c r="J118" s="18"/>
    </row>
    <row r="119" spans="1:10" x14ac:dyDescent="0.35">
      <c r="A119" s="14">
        <v>118</v>
      </c>
      <c r="B119" s="18"/>
      <c r="C119" s="11" t="str">
        <f>IF(B119="","",IFERROR(INDEX(Durchläufe!$C$2:$C$25,MATCH(B119,Durchläufe!$A$2:$A$25,0)),"?"))</f>
        <v/>
      </c>
      <c r="D119" s="11" t="str">
        <f>IF(B119="","",IFERROR(INDEX(Durchläufe!$D$2:$D$25,MATCH(B119,Durchläufe!$A$2:$A$25,0)),"?"))</f>
        <v/>
      </c>
      <c r="E119" s="18"/>
      <c r="F119" s="18"/>
      <c r="G119" s="18"/>
      <c r="H119" s="18"/>
      <c r="I119" s="18"/>
      <c r="J119" s="18"/>
    </row>
    <row r="120" spans="1:10" x14ac:dyDescent="0.35">
      <c r="A120" s="14">
        <v>119</v>
      </c>
      <c r="B120" s="18"/>
      <c r="C120" s="11" t="str">
        <f>IF(B120="","",IFERROR(INDEX(Durchläufe!$C$2:$C$25,MATCH(B120,Durchläufe!$A$2:$A$25,0)),"?"))</f>
        <v/>
      </c>
      <c r="D120" s="11" t="str">
        <f>IF(B120="","",IFERROR(INDEX(Durchläufe!$D$2:$D$25,MATCH(B120,Durchläufe!$A$2:$A$25,0)),"?"))</f>
        <v/>
      </c>
      <c r="E120" s="18"/>
      <c r="F120" s="18"/>
      <c r="G120" s="18"/>
      <c r="H120" s="18"/>
      <c r="I120" s="18"/>
      <c r="J120" s="18"/>
    </row>
    <row r="121" spans="1:10" x14ac:dyDescent="0.35">
      <c r="A121" s="14">
        <v>120</v>
      </c>
      <c r="B121" s="18"/>
      <c r="C121" s="11" t="str">
        <f>IF(B121="","",IFERROR(INDEX(Durchläufe!$C$2:$C$25,MATCH(B121,Durchläufe!$A$2:$A$25,0)),"?"))</f>
        <v/>
      </c>
      <c r="D121" s="11" t="str">
        <f>IF(B121="","",IFERROR(INDEX(Durchläufe!$D$2:$D$25,MATCH(B121,Durchläufe!$A$2:$A$25,0)),"?"))</f>
        <v/>
      </c>
      <c r="E121" s="18"/>
      <c r="F121" s="18"/>
      <c r="G121" s="18"/>
      <c r="H121" s="18"/>
      <c r="I121" s="18"/>
      <c r="J121" s="18"/>
    </row>
    <row r="122" spans="1:10" x14ac:dyDescent="0.35">
      <c r="A122" s="14">
        <v>121</v>
      </c>
      <c r="B122" s="18"/>
      <c r="C122" s="11" t="str">
        <f>IF(B122="","",IFERROR(INDEX(Durchläufe!$C$2:$C$25,MATCH(B122,Durchläufe!$A$2:$A$25,0)),"?"))</f>
        <v/>
      </c>
      <c r="D122" s="11" t="str">
        <f>IF(B122="","",IFERROR(INDEX(Durchläufe!$D$2:$D$25,MATCH(B122,Durchläufe!$A$2:$A$25,0)),"?"))</f>
        <v/>
      </c>
      <c r="E122" s="18"/>
      <c r="F122" s="18"/>
      <c r="G122" s="18"/>
      <c r="H122" s="18"/>
      <c r="I122" s="18"/>
      <c r="J122" s="18"/>
    </row>
    <row r="123" spans="1:10" x14ac:dyDescent="0.35">
      <c r="A123" s="14">
        <v>122</v>
      </c>
      <c r="B123" s="18"/>
      <c r="C123" s="11" t="str">
        <f>IF(B123="","",IFERROR(INDEX(Durchläufe!$C$2:$C$25,MATCH(B123,Durchläufe!$A$2:$A$25,0)),"?"))</f>
        <v/>
      </c>
      <c r="D123" s="11" t="str">
        <f>IF(B123="","",IFERROR(INDEX(Durchläufe!$D$2:$D$25,MATCH(B123,Durchläufe!$A$2:$A$25,0)),"?"))</f>
        <v/>
      </c>
      <c r="E123" s="18"/>
      <c r="F123" s="18"/>
      <c r="G123" s="18"/>
      <c r="H123" s="18"/>
      <c r="I123" s="18"/>
      <c r="J123" s="18"/>
    </row>
    <row r="124" spans="1:10" x14ac:dyDescent="0.35">
      <c r="A124" s="14">
        <v>123</v>
      </c>
      <c r="B124" s="18"/>
      <c r="C124" s="11" t="str">
        <f>IF(B124="","",IFERROR(INDEX(Durchläufe!$C$2:$C$25,MATCH(B124,Durchläufe!$A$2:$A$25,0)),"?"))</f>
        <v/>
      </c>
      <c r="D124" s="11" t="str">
        <f>IF(B124="","",IFERROR(INDEX(Durchläufe!$D$2:$D$25,MATCH(B124,Durchläufe!$A$2:$A$25,0)),"?"))</f>
        <v/>
      </c>
      <c r="E124" s="18"/>
      <c r="F124" s="18"/>
      <c r="G124" s="18"/>
      <c r="H124" s="18"/>
      <c r="I124" s="18"/>
      <c r="J124" s="18"/>
    </row>
    <row r="125" spans="1:10" x14ac:dyDescent="0.35">
      <c r="A125" s="14">
        <v>124</v>
      </c>
      <c r="B125" s="18"/>
      <c r="C125" s="11" t="str">
        <f>IF(B125="","",IFERROR(INDEX(Durchläufe!$C$2:$C$25,MATCH(B125,Durchläufe!$A$2:$A$25,0)),"?"))</f>
        <v/>
      </c>
      <c r="D125" s="11" t="str">
        <f>IF(B125="","",IFERROR(INDEX(Durchläufe!$D$2:$D$25,MATCH(B125,Durchläufe!$A$2:$A$25,0)),"?"))</f>
        <v/>
      </c>
      <c r="E125" s="18"/>
      <c r="F125" s="18"/>
      <c r="G125" s="18"/>
      <c r="H125" s="18"/>
      <c r="I125" s="18"/>
      <c r="J125" s="18"/>
    </row>
    <row r="126" spans="1:10" x14ac:dyDescent="0.35">
      <c r="A126" s="14">
        <v>125</v>
      </c>
      <c r="B126" s="18"/>
      <c r="C126" s="11" t="str">
        <f>IF(B126="","",IFERROR(INDEX(Durchläufe!$C$2:$C$25,MATCH(B126,Durchläufe!$A$2:$A$25,0)),"?"))</f>
        <v/>
      </c>
      <c r="D126" s="11" t="str">
        <f>IF(B126="","",IFERROR(INDEX(Durchläufe!$D$2:$D$25,MATCH(B126,Durchläufe!$A$2:$A$25,0)),"?"))</f>
        <v/>
      </c>
      <c r="E126" s="18"/>
      <c r="F126" s="18"/>
      <c r="G126" s="18"/>
      <c r="H126" s="18"/>
      <c r="I126" s="18"/>
      <c r="J126" s="18"/>
    </row>
    <row r="127" spans="1:10" x14ac:dyDescent="0.35">
      <c r="A127" s="14">
        <v>126</v>
      </c>
      <c r="B127" s="18"/>
      <c r="C127" s="11" t="str">
        <f>IF(B127="","",IFERROR(INDEX(Durchläufe!$C$2:$C$25,MATCH(B127,Durchläufe!$A$2:$A$25,0)),"?"))</f>
        <v/>
      </c>
      <c r="D127" s="11" t="str">
        <f>IF(B127="","",IFERROR(INDEX(Durchläufe!$D$2:$D$25,MATCH(B127,Durchläufe!$A$2:$A$25,0)),"?"))</f>
        <v/>
      </c>
      <c r="E127" s="18"/>
      <c r="F127" s="18"/>
      <c r="G127" s="18"/>
      <c r="H127" s="18"/>
      <c r="I127" s="18"/>
      <c r="J127" s="18"/>
    </row>
    <row r="128" spans="1:10" x14ac:dyDescent="0.35">
      <c r="A128" s="14">
        <v>127</v>
      </c>
      <c r="B128" s="18"/>
      <c r="C128" s="11" t="str">
        <f>IF(B128="","",IFERROR(INDEX(Durchläufe!$C$2:$C$25,MATCH(B128,Durchläufe!$A$2:$A$25,0)),"?"))</f>
        <v/>
      </c>
      <c r="D128" s="11" t="str">
        <f>IF(B128="","",IFERROR(INDEX(Durchläufe!$D$2:$D$25,MATCH(B128,Durchläufe!$A$2:$A$25,0)),"?"))</f>
        <v/>
      </c>
      <c r="E128" s="18"/>
      <c r="F128" s="18"/>
      <c r="G128" s="18"/>
      <c r="H128" s="18"/>
      <c r="I128" s="18"/>
      <c r="J128" s="18"/>
    </row>
    <row r="129" spans="1:10" x14ac:dyDescent="0.35">
      <c r="A129" s="14">
        <v>128</v>
      </c>
      <c r="B129" s="18"/>
      <c r="C129" s="11" t="str">
        <f>IF(B129="","",IFERROR(INDEX(Durchläufe!$C$2:$C$25,MATCH(B129,Durchläufe!$A$2:$A$25,0)),"?"))</f>
        <v/>
      </c>
      <c r="D129" s="11" t="str">
        <f>IF(B129="","",IFERROR(INDEX(Durchläufe!$D$2:$D$25,MATCH(B129,Durchläufe!$A$2:$A$25,0)),"?"))</f>
        <v/>
      </c>
      <c r="E129" s="18"/>
      <c r="F129" s="18"/>
      <c r="G129" s="18"/>
      <c r="H129" s="18"/>
      <c r="I129" s="18"/>
      <c r="J129" s="18"/>
    </row>
    <row r="130" spans="1:10" x14ac:dyDescent="0.35">
      <c r="A130" s="14">
        <v>129</v>
      </c>
      <c r="B130" s="18"/>
      <c r="C130" s="11" t="str">
        <f>IF(B130="","",IFERROR(INDEX(Durchläufe!$C$2:$C$25,MATCH(B130,Durchläufe!$A$2:$A$25,0)),"?"))</f>
        <v/>
      </c>
      <c r="D130" s="11" t="str">
        <f>IF(B130="","",IFERROR(INDEX(Durchläufe!$D$2:$D$25,MATCH(B130,Durchläufe!$A$2:$A$25,0)),"?"))</f>
        <v/>
      </c>
      <c r="E130" s="18"/>
      <c r="F130" s="18"/>
      <c r="G130" s="18"/>
      <c r="H130" s="18"/>
      <c r="I130" s="18"/>
      <c r="J130" s="18"/>
    </row>
    <row r="131" spans="1:10" x14ac:dyDescent="0.35">
      <c r="A131" s="14">
        <v>130</v>
      </c>
      <c r="B131" s="18"/>
      <c r="C131" s="11" t="str">
        <f>IF(B131="","",IFERROR(INDEX(Durchläufe!$C$2:$C$25,MATCH(B131,Durchläufe!$A$2:$A$25,0)),"?"))</f>
        <v/>
      </c>
      <c r="D131" s="11" t="str">
        <f>IF(B131="","",IFERROR(INDEX(Durchläufe!$D$2:$D$25,MATCH(B131,Durchläufe!$A$2:$A$25,0)),"?"))</f>
        <v/>
      </c>
      <c r="E131" s="18"/>
      <c r="F131" s="18"/>
      <c r="G131" s="18"/>
      <c r="H131" s="18"/>
      <c r="I131" s="18"/>
      <c r="J131" s="18"/>
    </row>
    <row r="132" spans="1:10" x14ac:dyDescent="0.35">
      <c r="A132" s="14">
        <v>131</v>
      </c>
      <c r="B132" s="18"/>
      <c r="C132" s="11" t="str">
        <f>IF(B132="","",IFERROR(INDEX(Durchläufe!$C$2:$C$25,MATCH(B132,Durchläufe!$A$2:$A$25,0)),"?"))</f>
        <v/>
      </c>
      <c r="D132" s="11" t="str">
        <f>IF(B132="","",IFERROR(INDEX(Durchläufe!$D$2:$D$25,MATCH(B132,Durchläufe!$A$2:$A$25,0)),"?"))</f>
        <v/>
      </c>
      <c r="E132" s="18"/>
      <c r="F132" s="18"/>
      <c r="G132" s="18"/>
      <c r="H132" s="18"/>
      <c r="I132" s="18"/>
      <c r="J132" s="18"/>
    </row>
    <row r="133" spans="1:10" x14ac:dyDescent="0.35">
      <c r="A133" s="14">
        <v>132</v>
      </c>
      <c r="B133" s="18"/>
      <c r="C133" s="11" t="str">
        <f>IF(B133="","",IFERROR(INDEX(Durchläufe!$C$2:$C$25,MATCH(B133,Durchläufe!$A$2:$A$25,0)),"?"))</f>
        <v/>
      </c>
      <c r="D133" s="11" t="str">
        <f>IF(B133="","",IFERROR(INDEX(Durchläufe!$D$2:$D$25,MATCH(B133,Durchläufe!$A$2:$A$25,0)),"?"))</f>
        <v/>
      </c>
      <c r="E133" s="18"/>
      <c r="F133" s="18"/>
      <c r="G133" s="18"/>
      <c r="H133" s="18"/>
      <c r="I133" s="18"/>
      <c r="J133" s="18"/>
    </row>
    <row r="134" spans="1:10" x14ac:dyDescent="0.35">
      <c r="A134" s="14">
        <v>133</v>
      </c>
      <c r="B134" s="18"/>
      <c r="C134" s="11" t="str">
        <f>IF(B134="","",IFERROR(INDEX(Durchläufe!$C$2:$C$25,MATCH(B134,Durchläufe!$A$2:$A$25,0)),"?"))</f>
        <v/>
      </c>
      <c r="D134" s="11" t="str">
        <f>IF(B134="","",IFERROR(INDEX(Durchläufe!$D$2:$D$25,MATCH(B134,Durchläufe!$A$2:$A$25,0)),"?"))</f>
        <v/>
      </c>
      <c r="E134" s="18"/>
      <c r="F134" s="18"/>
      <c r="G134" s="18"/>
      <c r="H134" s="18"/>
      <c r="I134" s="18"/>
      <c r="J134" s="18"/>
    </row>
    <row r="135" spans="1:10" x14ac:dyDescent="0.35">
      <c r="A135" s="14">
        <v>134</v>
      </c>
      <c r="B135" s="18"/>
      <c r="C135" s="11" t="str">
        <f>IF(B135="","",IFERROR(INDEX(Durchläufe!$C$2:$C$25,MATCH(B135,Durchläufe!$A$2:$A$25,0)),"?"))</f>
        <v/>
      </c>
      <c r="D135" s="11" t="str">
        <f>IF(B135="","",IFERROR(INDEX(Durchläufe!$D$2:$D$25,MATCH(B135,Durchläufe!$A$2:$A$25,0)),"?"))</f>
        <v/>
      </c>
      <c r="E135" s="18"/>
      <c r="F135" s="18"/>
      <c r="G135" s="18"/>
      <c r="H135" s="18"/>
      <c r="I135" s="18"/>
      <c r="J135" s="18"/>
    </row>
    <row r="136" spans="1:10" x14ac:dyDescent="0.35">
      <c r="A136" s="14">
        <v>135</v>
      </c>
      <c r="B136" s="18"/>
      <c r="C136" s="11" t="str">
        <f>IF(B136="","",IFERROR(INDEX(Durchläufe!$C$2:$C$25,MATCH(B136,Durchläufe!$A$2:$A$25,0)),"?"))</f>
        <v/>
      </c>
      <c r="D136" s="11" t="str">
        <f>IF(B136="","",IFERROR(INDEX(Durchläufe!$D$2:$D$25,MATCH(B136,Durchläufe!$A$2:$A$25,0)),"?"))</f>
        <v/>
      </c>
      <c r="E136" s="18"/>
      <c r="F136" s="18"/>
      <c r="G136" s="18"/>
      <c r="H136" s="18"/>
      <c r="I136" s="18"/>
      <c r="J136" s="18"/>
    </row>
    <row r="137" spans="1:10" x14ac:dyDescent="0.35">
      <c r="A137" s="14">
        <v>136</v>
      </c>
      <c r="B137" s="18"/>
      <c r="C137" s="11" t="str">
        <f>IF(B137="","",IFERROR(INDEX(Durchläufe!$C$2:$C$25,MATCH(B137,Durchläufe!$A$2:$A$25,0)),"?"))</f>
        <v/>
      </c>
      <c r="D137" s="11" t="str">
        <f>IF(B137="","",IFERROR(INDEX(Durchläufe!$D$2:$D$25,MATCH(B137,Durchläufe!$A$2:$A$25,0)),"?"))</f>
        <v/>
      </c>
      <c r="E137" s="18"/>
      <c r="F137" s="18"/>
      <c r="G137" s="18"/>
      <c r="H137" s="18"/>
      <c r="I137" s="18"/>
      <c r="J137" s="18"/>
    </row>
    <row r="138" spans="1:10" x14ac:dyDescent="0.35">
      <c r="A138" s="14">
        <v>137</v>
      </c>
      <c r="B138" s="18"/>
      <c r="C138" s="11" t="str">
        <f>IF(B138="","",IFERROR(INDEX(Durchläufe!$C$2:$C$25,MATCH(B138,Durchläufe!$A$2:$A$25,0)),"?"))</f>
        <v/>
      </c>
      <c r="D138" s="11" t="str">
        <f>IF(B138="","",IFERROR(INDEX(Durchläufe!$D$2:$D$25,MATCH(B138,Durchläufe!$A$2:$A$25,0)),"?"))</f>
        <v/>
      </c>
      <c r="E138" s="18"/>
      <c r="F138" s="18"/>
      <c r="G138" s="18"/>
      <c r="H138" s="18"/>
      <c r="I138" s="18"/>
      <c r="J138" s="18"/>
    </row>
    <row r="139" spans="1:10" x14ac:dyDescent="0.35">
      <c r="A139" s="14">
        <v>138</v>
      </c>
      <c r="B139" s="18"/>
      <c r="C139" s="11" t="str">
        <f>IF(B139="","",IFERROR(INDEX(Durchläufe!$C$2:$C$25,MATCH(B139,Durchläufe!$A$2:$A$25,0)),"?"))</f>
        <v/>
      </c>
      <c r="D139" s="11" t="str">
        <f>IF(B139="","",IFERROR(INDEX(Durchläufe!$D$2:$D$25,MATCH(B139,Durchläufe!$A$2:$A$25,0)),"?"))</f>
        <v/>
      </c>
      <c r="E139" s="18"/>
      <c r="F139" s="18"/>
      <c r="G139" s="18"/>
      <c r="H139" s="18"/>
      <c r="I139" s="18"/>
      <c r="J139" s="18"/>
    </row>
    <row r="140" spans="1:10" x14ac:dyDescent="0.35">
      <c r="A140" s="14">
        <v>139</v>
      </c>
      <c r="B140" s="18"/>
      <c r="C140" s="11" t="str">
        <f>IF(B140="","",IFERROR(INDEX(Durchläufe!$C$2:$C$25,MATCH(B140,Durchläufe!$A$2:$A$25,0)),"?"))</f>
        <v/>
      </c>
      <c r="D140" s="11" t="str">
        <f>IF(B140="","",IFERROR(INDEX(Durchläufe!$D$2:$D$25,MATCH(B140,Durchläufe!$A$2:$A$25,0)),"?"))</f>
        <v/>
      </c>
      <c r="E140" s="18"/>
      <c r="F140" s="18"/>
      <c r="G140" s="18"/>
      <c r="H140" s="18"/>
      <c r="I140" s="18"/>
      <c r="J140" s="18"/>
    </row>
    <row r="141" spans="1:10" x14ac:dyDescent="0.35">
      <c r="A141" s="14">
        <v>140</v>
      </c>
      <c r="B141" s="18"/>
      <c r="C141" s="11" t="str">
        <f>IF(B141="","",IFERROR(INDEX(Durchläufe!$C$2:$C$25,MATCH(B141,Durchläufe!$A$2:$A$25,0)),"?"))</f>
        <v/>
      </c>
      <c r="D141" s="11" t="str">
        <f>IF(B141="","",IFERROR(INDEX(Durchläufe!$D$2:$D$25,MATCH(B141,Durchläufe!$A$2:$A$25,0)),"?"))</f>
        <v/>
      </c>
      <c r="E141" s="18"/>
      <c r="F141" s="18"/>
      <c r="G141" s="18"/>
      <c r="H141" s="18"/>
      <c r="I141" s="18"/>
      <c r="J141" s="18"/>
    </row>
    <row r="142" spans="1:10" x14ac:dyDescent="0.35">
      <c r="A142" s="14">
        <v>141</v>
      </c>
      <c r="B142" s="18"/>
      <c r="C142" s="11" t="str">
        <f>IF(B142="","",IFERROR(INDEX(Durchläufe!$C$2:$C$25,MATCH(B142,Durchläufe!$A$2:$A$25,0)),"?"))</f>
        <v/>
      </c>
      <c r="D142" s="11" t="str">
        <f>IF(B142="","",IFERROR(INDEX(Durchläufe!$D$2:$D$25,MATCH(B142,Durchläufe!$A$2:$A$25,0)),"?"))</f>
        <v/>
      </c>
      <c r="E142" s="18"/>
      <c r="F142" s="18"/>
      <c r="G142" s="18"/>
      <c r="H142" s="18"/>
      <c r="I142" s="18"/>
      <c r="J142" s="18"/>
    </row>
    <row r="143" spans="1:10" x14ac:dyDescent="0.35">
      <c r="A143" s="14">
        <v>142</v>
      </c>
      <c r="B143" s="18"/>
      <c r="C143" s="11" t="str">
        <f>IF(B143="","",IFERROR(INDEX(Durchläufe!$C$2:$C$25,MATCH(B143,Durchläufe!$A$2:$A$25,0)),"?"))</f>
        <v/>
      </c>
      <c r="D143" s="11" t="str">
        <f>IF(B143="","",IFERROR(INDEX(Durchläufe!$D$2:$D$25,MATCH(B143,Durchläufe!$A$2:$A$25,0)),"?"))</f>
        <v/>
      </c>
      <c r="E143" s="18"/>
      <c r="F143" s="18"/>
      <c r="G143" s="18"/>
      <c r="H143" s="18"/>
      <c r="I143" s="18"/>
      <c r="J143" s="18"/>
    </row>
    <row r="144" spans="1:10" x14ac:dyDescent="0.35">
      <c r="A144" s="14">
        <v>143</v>
      </c>
      <c r="B144" s="18"/>
      <c r="C144" s="11" t="str">
        <f>IF(B144="","",IFERROR(INDEX(Durchläufe!$C$2:$C$25,MATCH(B144,Durchläufe!$A$2:$A$25,0)),"?"))</f>
        <v/>
      </c>
      <c r="D144" s="11" t="str">
        <f>IF(B144="","",IFERROR(INDEX(Durchläufe!$D$2:$D$25,MATCH(B144,Durchläufe!$A$2:$A$25,0)),"?"))</f>
        <v/>
      </c>
      <c r="E144" s="18"/>
      <c r="F144" s="18"/>
      <c r="G144" s="18"/>
      <c r="H144" s="18"/>
      <c r="I144" s="18"/>
      <c r="J144" s="18"/>
    </row>
    <row r="145" spans="1:10" x14ac:dyDescent="0.35">
      <c r="A145" s="14">
        <v>144</v>
      </c>
      <c r="B145" s="18"/>
      <c r="C145" s="11" t="str">
        <f>IF(B145="","",IFERROR(INDEX(Durchläufe!$C$2:$C$25,MATCH(B145,Durchläufe!$A$2:$A$25,0)),"?"))</f>
        <v/>
      </c>
      <c r="D145" s="11" t="str">
        <f>IF(B145="","",IFERROR(INDEX(Durchläufe!$D$2:$D$25,MATCH(B145,Durchläufe!$A$2:$A$25,0)),"?"))</f>
        <v/>
      </c>
      <c r="E145" s="18"/>
      <c r="F145" s="18"/>
      <c r="G145" s="18"/>
      <c r="H145" s="18"/>
      <c r="I145" s="18"/>
      <c r="J145" s="18"/>
    </row>
    <row r="146" spans="1:10" x14ac:dyDescent="0.35">
      <c r="A146" s="14">
        <v>145</v>
      </c>
      <c r="B146" s="18"/>
      <c r="C146" s="11" t="str">
        <f>IF(B146="","",IFERROR(INDEX(Durchläufe!$C$2:$C$25,MATCH(B146,Durchläufe!$A$2:$A$25,0)),"?"))</f>
        <v/>
      </c>
      <c r="D146" s="11" t="str">
        <f>IF(B146="","",IFERROR(INDEX(Durchläufe!$D$2:$D$25,MATCH(B146,Durchläufe!$A$2:$A$25,0)),"?"))</f>
        <v/>
      </c>
      <c r="E146" s="18"/>
      <c r="F146" s="18"/>
      <c r="G146" s="18"/>
      <c r="H146" s="18"/>
      <c r="I146" s="18"/>
      <c r="J146" s="18"/>
    </row>
    <row r="147" spans="1:10" x14ac:dyDescent="0.35">
      <c r="A147" s="14">
        <v>146</v>
      </c>
      <c r="B147" s="18"/>
      <c r="C147" s="11" t="str">
        <f>IF(B147="","",IFERROR(INDEX(Durchläufe!$C$2:$C$25,MATCH(B147,Durchläufe!$A$2:$A$25,0)),"?"))</f>
        <v/>
      </c>
      <c r="D147" s="11" t="str">
        <f>IF(B147="","",IFERROR(INDEX(Durchläufe!$D$2:$D$25,MATCH(B147,Durchläufe!$A$2:$A$25,0)),"?"))</f>
        <v/>
      </c>
      <c r="E147" s="18"/>
      <c r="F147" s="18"/>
      <c r="G147" s="18"/>
      <c r="H147" s="18"/>
      <c r="I147" s="18"/>
      <c r="J147" s="18"/>
    </row>
    <row r="148" spans="1:10" x14ac:dyDescent="0.35">
      <c r="A148" s="14">
        <v>147</v>
      </c>
      <c r="B148" s="18"/>
      <c r="C148" s="11" t="str">
        <f>IF(B148="","",IFERROR(INDEX(Durchläufe!$C$2:$C$25,MATCH(B148,Durchläufe!$A$2:$A$25,0)),"?"))</f>
        <v/>
      </c>
      <c r="D148" s="11" t="str">
        <f>IF(B148="","",IFERROR(INDEX(Durchläufe!$D$2:$D$25,MATCH(B148,Durchläufe!$A$2:$A$25,0)),"?"))</f>
        <v/>
      </c>
      <c r="E148" s="18"/>
      <c r="F148" s="18"/>
      <c r="G148" s="18"/>
      <c r="H148" s="18"/>
      <c r="I148" s="18"/>
      <c r="J148" s="18"/>
    </row>
    <row r="149" spans="1:10" x14ac:dyDescent="0.35">
      <c r="A149" s="14">
        <v>148</v>
      </c>
      <c r="B149" s="18"/>
      <c r="C149" s="11" t="str">
        <f>IF(B149="","",IFERROR(INDEX(Durchläufe!$C$2:$C$25,MATCH(B149,Durchläufe!$A$2:$A$25,0)),"?"))</f>
        <v/>
      </c>
      <c r="D149" s="11" t="str">
        <f>IF(B149="","",IFERROR(INDEX(Durchläufe!$D$2:$D$25,MATCH(B149,Durchläufe!$A$2:$A$25,0)),"?"))</f>
        <v/>
      </c>
      <c r="E149" s="18"/>
      <c r="F149" s="18"/>
      <c r="G149" s="18"/>
      <c r="H149" s="18"/>
      <c r="I149" s="18"/>
      <c r="J149" s="18"/>
    </row>
    <row r="150" spans="1:10" x14ac:dyDescent="0.35">
      <c r="A150" s="14">
        <v>149</v>
      </c>
      <c r="B150" s="18"/>
      <c r="C150" s="11" t="str">
        <f>IF(B150="","",IFERROR(INDEX(Durchläufe!$C$2:$C$25,MATCH(B150,Durchläufe!$A$2:$A$25,0)),"?"))</f>
        <v/>
      </c>
      <c r="D150" s="11" t="str">
        <f>IF(B150="","",IFERROR(INDEX(Durchläufe!$D$2:$D$25,MATCH(B150,Durchläufe!$A$2:$A$25,0)),"?"))</f>
        <v/>
      </c>
      <c r="E150" s="18"/>
      <c r="F150" s="18"/>
      <c r="G150" s="18"/>
      <c r="H150" s="18"/>
      <c r="I150" s="18"/>
      <c r="J150" s="18"/>
    </row>
    <row r="151" spans="1:10" x14ac:dyDescent="0.35">
      <c r="A151" s="14">
        <v>150</v>
      </c>
      <c r="B151" s="18"/>
      <c r="C151" s="11" t="str">
        <f>IF(B151="","",IFERROR(INDEX(Durchläufe!$C$2:$C$25,MATCH(B151,Durchläufe!$A$2:$A$25,0)),"?"))</f>
        <v/>
      </c>
      <c r="D151" s="11" t="str">
        <f>IF(B151="","",IFERROR(INDEX(Durchläufe!$D$2:$D$25,MATCH(B151,Durchläufe!$A$2:$A$25,0)),"?"))</f>
        <v/>
      </c>
      <c r="E151" s="18"/>
      <c r="F151" s="18"/>
      <c r="G151" s="18"/>
      <c r="H151" s="18"/>
      <c r="I151" s="18"/>
      <c r="J151" s="18"/>
    </row>
    <row r="152" spans="1:10" x14ac:dyDescent="0.35">
      <c r="A152" s="14">
        <v>151</v>
      </c>
      <c r="B152" s="18"/>
      <c r="C152" s="11" t="str">
        <f>IF(B152="","",IFERROR(INDEX(Durchläufe!$C$2:$C$25,MATCH(B152,Durchläufe!$A$2:$A$25,0)),"?"))</f>
        <v/>
      </c>
      <c r="D152" s="11" t="str">
        <f>IF(B152="","",IFERROR(INDEX(Durchläufe!$D$2:$D$25,MATCH(B152,Durchläufe!$A$2:$A$25,0)),"?"))</f>
        <v/>
      </c>
      <c r="E152" s="18"/>
      <c r="F152" s="18"/>
      <c r="G152" s="18"/>
      <c r="H152" s="18"/>
      <c r="I152" s="18"/>
      <c r="J152" s="18"/>
    </row>
    <row r="153" spans="1:10" x14ac:dyDescent="0.35">
      <c r="A153" s="14">
        <v>152</v>
      </c>
      <c r="B153" s="18"/>
      <c r="C153" s="11" t="str">
        <f>IF(B153="","",IFERROR(INDEX(Durchläufe!$C$2:$C$25,MATCH(B153,Durchläufe!$A$2:$A$25,0)),"?"))</f>
        <v/>
      </c>
      <c r="D153" s="11" t="str">
        <f>IF(B153="","",IFERROR(INDEX(Durchläufe!$D$2:$D$25,MATCH(B153,Durchläufe!$A$2:$A$25,0)),"?"))</f>
        <v/>
      </c>
      <c r="E153" s="18"/>
      <c r="F153" s="18"/>
      <c r="G153" s="18"/>
      <c r="H153" s="18"/>
      <c r="I153" s="18"/>
      <c r="J153" s="18"/>
    </row>
    <row r="154" spans="1:10" x14ac:dyDescent="0.35">
      <c r="A154" s="14">
        <v>153</v>
      </c>
      <c r="B154" s="18"/>
      <c r="C154" s="11" t="str">
        <f>IF(B154="","",IFERROR(INDEX(Durchläufe!$C$2:$C$25,MATCH(B154,Durchläufe!$A$2:$A$25,0)),"?"))</f>
        <v/>
      </c>
      <c r="D154" s="11" t="str">
        <f>IF(B154="","",IFERROR(INDEX(Durchläufe!$D$2:$D$25,MATCH(B154,Durchläufe!$A$2:$A$25,0)),"?"))</f>
        <v/>
      </c>
      <c r="E154" s="18"/>
      <c r="F154" s="18"/>
      <c r="G154" s="18"/>
      <c r="H154" s="18"/>
      <c r="I154" s="18"/>
      <c r="J154" s="18"/>
    </row>
    <row r="155" spans="1:10" x14ac:dyDescent="0.35">
      <c r="A155" s="14">
        <v>154</v>
      </c>
      <c r="B155" s="18"/>
      <c r="C155" s="11" t="str">
        <f>IF(B155="","",IFERROR(INDEX(Durchläufe!$C$2:$C$25,MATCH(B155,Durchläufe!$A$2:$A$25,0)),"?"))</f>
        <v/>
      </c>
      <c r="D155" s="11" t="str">
        <f>IF(B155="","",IFERROR(INDEX(Durchläufe!$D$2:$D$25,MATCH(B155,Durchläufe!$A$2:$A$25,0)),"?"))</f>
        <v/>
      </c>
      <c r="E155" s="18"/>
      <c r="F155" s="18"/>
      <c r="G155" s="18"/>
      <c r="H155" s="18"/>
      <c r="I155" s="18"/>
      <c r="J155" s="18"/>
    </row>
    <row r="156" spans="1:10" x14ac:dyDescent="0.35">
      <c r="A156" s="14">
        <v>155</v>
      </c>
      <c r="B156" s="18"/>
      <c r="C156" s="11" t="str">
        <f>IF(B156="","",IFERROR(INDEX(Durchläufe!$C$2:$C$25,MATCH(B156,Durchläufe!$A$2:$A$25,0)),"?"))</f>
        <v/>
      </c>
      <c r="D156" s="11" t="str">
        <f>IF(B156="","",IFERROR(INDEX(Durchläufe!$D$2:$D$25,MATCH(B156,Durchläufe!$A$2:$A$25,0)),"?"))</f>
        <v/>
      </c>
      <c r="E156" s="18"/>
      <c r="F156" s="18"/>
      <c r="G156" s="18"/>
      <c r="H156" s="18"/>
      <c r="I156" s="18"/>
      <c r="J156" s="18"/>
    </row>
    <row r="157" spans="1:10" x14ac:dyDescent="0.35">
      <c r="A157" s="14">
        <v>156</v>
      </c>
      <c r="B157" s="18"/>
      <c r="C157" s="11" t="str">
        <f>IF(B157="","",IFERROR(INDEX(Durchläufe!$C$2:$C$25,MATCH(B157,Durchläufe!$A$2:$A$25,0)),"?"))</f>
        <v/>
      </c>
      <c r="D157" s="11" t="str">
        <f>IF(B157="","",IFERROR(INDEX(Durchläufe!$D$2:$D$25,MATCH(B157,Durchläufe!$A$2:$A$25,0)),"?"))</f>
        <v/>
      </c>
      <c r="E157" s="18"/>
      <c r="F157" s="18"/>
      <c r="G157" s="18"/>
      <c r="H157" s="18"/>
      <c r="I157" s="18"/>
      <c r="J157" s="18"/>
    </row>
    <row r="158" spans="1:10" x14ac:dyDescent="0.35">
      <c r="A158" s="14">
        <v>157</v>
      </c>
      <c r="B158" s="18"/>
      <c r="C158" s="11" t="str">
        <f>IF(B158="","",IFERROR(INDEX(Durchläufe!$C$2:$C$25,MATCH(B158,Durchläufe!$A$2:$A$25,0)),"?"))</f>
        <v/>
      </c>
      <c r="D158" s="11" t="str">
        <f>IF(B158="","",IFERROR(INDEX(Durchläufe!$D$2:$D$25,MATCH(B158,Durchläufe!$A$2:$A$25,0)),"?"))</f>
        <v/>
      </c>
      <c r="E158" s="18"/>
      <c r="F158" s="18"/>
      <c r="G158" s="18"/>
      <c r="H158" s="18"/>
      <c r="I158" s="18"/>
      <c r="J158" s="18"/>
    </row>
    <row r="159" spans="1:10" x14ac:dyDescent="0.35">
      <c r="A159" s="14">
        <v>158</v>
      </c>
      <c r="B159" s="18"/>
      <c r="C159" s="11" t="str">
        <f>IF(B159="","",IFERROR(INDEX(Durchläufe!$C$2:$C$25,MATCH(B159,Durchläufe!$A$2:$A$25,0)),"?"))</f>
        <v/>
      </c>
      <c r="D159" s="11" t="str">
        <f>IF(B159="","",IFERROR(INDEX(Durchläufe!$D$2:$D$25,MATCH(B159,Durchläufe!$A$2:$A$25,0)),"?"))</f>
        <v/>
      </c>
      <c r="E159" s="18"/>
      <c r="F159" s="18"/>
      <c r="G159" s="18"/>
      <c r="H159" s="18"/>
      <c r="I159" s="18"/>
      <c r="J159" s="18"/>
    </row>
    <row r="160" spans="1:10" x14ac:dyDescent="0.35">
      <c r="A160" s="14">
        <v>159</v>
      </c>
      <c r="B160" s="18"/>
      <c r="C160" s="11" t="str">
        <f>IF(B160="","",IFERROR(INDEX(Durchläufe!$C$2:$C$25,MATCH(B160,Durchläufe!$A$2:$A$25,0)),"?"))</f>
        <v/>
      </c>
      <c r="D160" s="11" t="str">
        <f>IF(B160="","",IFERROR(INDEX(Durchläufe!$D$2:$D$25,MATCH(B160,Durchläufe!$A$2:$A$25,0)),"?"))</f>
        <v/>
      </c>
      <c r="E160" s="18"/>
      <c r="F160" s="18"/>
      <c r="G160" s="18"/>
      <c r="H160" s="18"/>
      <c r="I160" s="18"/>
      <c r="J160" s="18"/>
    </row>
    <row r="161" spans="1:10" x14ac:dyDescent="0.35">
      <c r="A161" s="14">
        <v>160</v>
      </c>
      <c r="B161" s="18"/>
      <c r="C161" s="11" t="str">
        <f>IF(B161="","",IFERROR(INDEX(Durchläufe!$C$2:$C$25,MATCH(B161,Durchläufe!$A$2:$A$25,0)),"?"))</f>
        <v/>
      </c>
      <c r="D161" s="11" t="str">
        <f>IF(B161="","",IFERROR(INDEX(Durchläufe!$D$2:$D$25,MATCH(B161,Durchläufe!$A$2:$A$25,0)),"?"))</f>
        <v/>
      </c>
      <c r="E161" s="18"/>
      <c r="F161" s="18"/>
      <c r="G161" s="18"/>
      <c r="H161" s="18"/>
      <c r="I161" s="18"/>
      <c r="J161" s="18"/>
    </row>
    <row r="162" spans="1:10" x14ac:dyDescent="0.35">
      <c r="A162" s="14">
        <v>161</v>
      </c>
      <c r="B162" s="18"/>
      <c r="C162" s="11" t="str">
        <f>IF(B162="","",IFERROR(INDEX(Durchläufe!$C$2:$C$25,MATCH(B162,Durchläufe!$A$2:$A$25,0)),"?"))</f>
        <v/>
      </c>
      <c r="D162" s="11" t="str">
        <f>IF(B162="","",IFERROR(INDEX(Durchläufe!$D$2:$D$25,MATCH(B162,Durchläufe!$A$2:$A$25,0)),"?"))</f>
        <v/>
      </c>
      <c r="E162" s="18"/>
      <c r="F162" s="18"/>
      <c r="G162" s="18"/>
      <c r="H162" s="18"/>
      <c r="I162" s="18"/>
      <c r="J162" s="18"/>
    </row>
    <row r="163" spans="1:10" x14ac:dyDescent="0.35">
      <c r="A163" s="14">
        <v>162</v>
      </c>
      <c r="B163" s="18"/>
      <c r="C163" s="11" t="str">
        <f>IF(B163="","",IFERROR(INDEX(Durchläufe!$C$2:$C$25,MATCH(B163,Durchläufe!$A$2:$A$25,0)),"?"))</f>
        <v/>
      </c>
      <c r="D163" s="11" t="str">
        <f>IF(B163="","",IFERROR(INDEX(Durchläufe!$D$2:$D$25,MATCH(B163,Durchläufe!$A$2:$A$25,0)),"?"))</f>
        <v/>
      </c>
      <c r="E163" s="18"/>
      <c r="F163" s="18"/>
      <c r="G163" s="18"/>
      <c r="H163" s="18"/>
      <c r="I163" s="18"/>
      <c r="J163" s="18"/>
    </row>
    <row r="164" spans="1:10" x14ac:dyDescent="0.35">
      <c r="A164" s="14">
        <v>163</v>
      </c>
      <c r="B164" s="18"/>
      <c r="C164" s="11" t="str">
        <f>IF(B164="","",IFERROR(INDEX(Durchläufe!$C$2:$C$25,MATCH(B164,Durchläufe!$A$2:$A$25,0)),"?"))</f>
        <v/>
      </c>
      <c r="D164" s="11" t="str">
        <f>IF(B164="","",IFERROR(INDEX(Durchläufe!$D$2:$D$25,MATCH(B164,Durchläufe!$A$2:$A$25,0)),"?"))</f>
        <v/>
      </c>
      <c r="E164" s="18"/>
      <c r="F164" s="18"/>
      <c r="G164" s="18"/>
      <c r="H164" s="18"/>
      <c r="I164" s="18"/>
      <c r="J164" s="18"/>
    </row>
    <row r="165" spans="1:10" x14ac:dyDescent="0.35">
      <c r="A165" s="14">
        <v>164</v>
      </c>
      <c r="B165" s="18"/>
      <c r="C165" s="11" t="str">
        <f>IF(B165="","",IFERROR(INDEX(Durchläufe!$C$2:$C$25,MATCH(B165,Durchläufe!$A$2:$A$25,0)),"?"))</f>
        <v/>
      </c>
      <c r="D165" s="11" t="str">
        <f>IF(B165="","",IFERROR(INDEX(Durchläufe!$D$2:$D$25,MATCH(B165,Durchläufe!$A$2:$A$25,0)),"?"))</f>
        <v/>
      </c>
      <c r="E165" s="18"/>
      <c r="F165" s="18"/>
      <c r="G165" s="18"/>
      <c r="H165" s="18"/>
      <c r="I165" s="18"/>
      <c r="J165" s="18"/>
    </row>
    <row r="166" spans="1:10" x14ac:dyDescent="0.35">
      <c r="A166" s="14">
        <v>165</v>
      </c>
      <c r="B166" s="18"/>
      <c r="C166" s="11" t="str">
        <f>IF(B166="","",IFERROR(INDEX(Durchläufe!$C$2:$C$25,MATCH(B166,Durchläufe!$A$2:$A$25,0)),"?"))</f>
        <v/>
      </c>
      <c r="D166" s="11" t="str">
        <f>IF(B166="","",IFERROR(INDEX(Durchläufe!$D$2:$D$25,MATCH(B166,Durchläufe!$A$2:$A$25,0)),"?"))</f>
        <v/>
      </c>
      <c r="E166" s="18"/>
      <c r="F166" s="18"/>
      <c r="G166" s="18"/>
      <c r="H166" s="18"/>
      <c r="I166" s="18"/>
      <c r="J166" s="18"/>
    </row>
    <row r="167" spans="1:10" x14ac:dyDescent="0.35">
      <c r="A167" s="14">
        <v>166</v>
      </c>
      <c r="B167" s="18"/>
      <c r="C167" s="11" t="str">
        <f>IF(B167="","",IFERROR(INDEX(Durchläufe!$C$2:$C$25,MATCH(B167,Durchläufe!$A$2:$A$25,0)),"?"))</f>
        <v/>
      </c>
      <c r="D167" s="11" t="str">
        <f>IF(B167="","",IFERROR(INDEX(Durchläufe!$D$2:$D$25,MATCH(B167,Durchläufe!$A$2:$A$25,0)),"?"))</f>
        <v/>
      </c>
      <c r="E167" s="18"/>
      <c r="F167" s="18"/>
      <c r="G167" s="18"/>
      <c r="H167" s="18"/>
      <c r="I167" s="18"/>
      <c r="J167" s="18"/>
    </row>
    <row r="168" spans="1:10" x14ac:dyDescent="0.35">
      <c r="A168" s="14">
        <v>167</v>
      </c>
      <c r="B168" s="18"/>
      <c r="C168" s="11" t="str">
        <f>IF(B168="","",IFERROR(INDEX(Durchläufe!$C$2:$C$25,MATCH(B168,Durchläufe!$A$2:$A$25,0)),"?"))</f>
        <v/>
      </c>
      <c r="D168" s="11" t="str">
        <f>IF(B168="","",IFERROR(INDEX(Durchläufe!$D$2:$D$25,MATCH(B168,Durchläufe!$A$2:$A$25,0)),"?"))</f>
        <v/>
      </c>
      <c r="E168" s="18"/>
      <c r="F168" s="18"/>
      <c r="G168" s="18"/>
      <c r="H168" s="18"/>
      <c r="I168" s="18"/>
      <c r="J168" s="18"/>
    </row>
    <row r="169" spans="1:10" x14ac:dyDescent="0.35">
      <c r="A169" s="14">
        <v>168</v>
      </c>
      <c r="B169" s="18"/>
      <c r="C169" s="11" t="str">
        <f>IF(B169="","",IFERROR(INDEX(Durchläufe!$C$2:$C$25,MATCH(B169,Durchläufe!$A$2:$A$25,0)),"?"))</f>
        <v/>
      </c>
      <c r="D169" s="11" t="str">
        <f>IF(B169="","",IFERROR(INDEX(Durchläufe!$D$2:$D$25,MATCH(B169,Durchläufe!$A$2:$A$25,0)),"?"))</f>
        <v/>
      </c>
      <c r="E169" s="18"/>
      <c r="F169" s="18"/>
      <c r="G169" s="18"/>
      <c r="H169" s="18"/>
      <c r="I169" s="18"/>
      <c r="J169" s="18"/>
    </row>
    <row r="170" spans="1:10" x14ac:dyDescent="0.35">
      <c r="A170" s="14">
        <v>169</v>
      </c>
      <c r="B170" s="18"/>
      <c r="C170" s="11" t="str">
        <f>IF(B170="","",IFERROR(INDEX(Durchläufe!$C$2:$C$25,MATCH(B170,Durchläufe!$A$2:$A$25,0)),"?"))</f>
        <v/>
      </c>
      <c r="D170" s="11" t="str">
        <f>IF(B170="","",IFERROR(INDEX(Durchläufe!$D$2:$D$25,MATCH(B170,Durchläufe!$A$2:$A$25,0)),"?"))</f>
        <v/>
      </c>
      <c r="E170" s="18"/>
      <c r="F170" s="18"/>
      <c r="G170" s="18"/>
      <c r="H170" s="18"/>
      <c r="I170" s="18"/>
      <c r="J170" s="18"/>
    </row>
    <row r="171" spans="1:10" x14ac:dyDescent="0.35">
      <c r="A171" s="14">
        <v>170</v>
      </c>
      <c r="B171" s="18"/>
      <c r="C171" s="11" t="str">
        <f>IF(B171="","",IFERROR(INDEX(Durchläufe!$C$2:$C$25,MATCH(B171,Durchläufe!$A$2:$A$25,0)),"?"))</f>
        <v/>
      </c>
      <c r="D171" s="11" t="str">
        <f>IF(B171="","",IFERROR(INDEX(Durchläufe!$D$2:$D$25,MATCH(B171,Durchläufe!$A$2:$A$25,0)),"?"))</f>
        <v/>
      </c>
      <c r="E171" s="18"/>
      <c r="F171" s="18"/>
      <c r="G171" s="18"/>
      <c r="H171" s="18"/>
      <c r="I171" s="18"/>
      <c r="J171" s="18"/>
    </row>
    <row r="172" spans="1:10" x14ac:dyDescent="0.35">
      <c r="A172" s="14">
        <v>171</v>
      </c>
      <c r="B172" s="18"/>
      <c r="C172" s="11" t="str">
        <f>IF(B172="","",IFERROR(INDEX(Durchläufe!$C$2:$C$25,MATCH(B172,Durchläufe!$A$2:$A$25,0)),"?"))</f>
        <v/>
      </c>
      <c r="D172" s="11" t="str">
        <f>IF(B172="","",IFERROR(INDEX(Durchläufe!$D$2:$D$25,MATCH(B172,Durchläufe!$A$2:$A$25,0)),"?"))</f>
        <v/>
      </c>
      <c r="E172" s="18"/>
      <c r="F172" s="18"/>
      <c r="G172" s="18"/>
      <c r="H172" s="18"/>
      <c r="I172" s="18"/>
      <c r="J172" s="18"/>
    </row>
    <row r="173" spans="1:10" x14ac:dyDescent="0.35">
      <c r="A173" s="14">
        <v>172</v>
      </c>
      <c r="B173" s="18"/>
      <c r="C173" s="11" t="str">
        <f>IF(B173="","",IFERROR(INDEX(Durchläufe!$C$2:$C$25,MATCH(B173,Durchläufe!$A$2:$A$25,0)),"?"))</f>
        <v/>
      </c>
      <c r="D173" s="11" t="str">
        <f>IF(B173="","",IFERROR(INDEX(Durchläufe!$D$2:$D$25,MATCH(B173,Durchläufe!$A$2:$A$25,0)),"?"))</f>
        <v/>
      </c>
      <c r="E173" s="18"/>
      <c r="F173" s="18"/>
      <c r="G173" s="18"/>
      <c r="H173" s="18"/>
      <c r="I173" s="18"/>
      <c r="J173" s="18"/>
    </row>
    <row r="174" spans="1:10" x14ac:dyDescent="0.35">
      <c r="A174" s="14">
        <v>173</v>
      </c>
      <c r="B174" s="18"/>
      <c r="C174" s="11" t="str">
        <f>IF(B174="","",IFERROR(INDEX(Durchläufe!$C$2:$C$25,MATCH(B174,Durchläufe!$A$2:$A$25,0)),"?"))</f>
        <v/>
      </c>
      <c r="D174" s="11" t="str">
        <f>IF(B174="","",IFERROR(INDEX(Durchläufe!$D$2:$D$25,MATCH(B174,Durchläufe!$A$2:$A$25,0)),"?"))</f>
        <v/>
      </c>
      <c r="E174" s="18"/>
      <c r="F174" s="18"/>
      <c r="G174" s="18"/>
      <c r="H174" s="18"/>
      <c r="I174" s="18"/>
      <c r="J174" s="18"/>
    </row>
    <row r="175" spans="1:10" x14ac:dyDescent="0.35">
      <c r="A175" s="14">
        <v>174</v>
      </c>
      <c r="B175" s="18"/>
      <c r="C175" s="11" t="str">
        <f>IF(B175="","",IFERROR(INDEX(Durchläufe!$C$2:$C$25,MATCH(B175,Durchläufe!$A$2:$A$25,0)),"?"))</f>
        <v/>
      </c>
      <c r="D175" s="11" t="str">
        <f>IF(B175="","",IFERROR(INDEX(Durchläufe!$D$2:$D$25,MATCH(B175,Durchläufe!$A$2:$A$25,0)),"?"))</f>
        <v/>
      </c>
      <c r="E175" s="18"/>
      <c r="F175" s="18"/>
      <c r="G175" s="18"/>
      <c r="H175" s="18"/>
      <c r="I175" s="18"/>
      <c r="J175" s="18"/>
    </row>
    <row r="176" spans="1:10" x14ac:dyDescent="0.35">
      <c r="A176" s="14">
        <v>175</v>
      </c>
      <c r="B176" s="18"/>
      <c r="C176" s="11" t="str">
        <f>IF(B176="","",IFERROR(INDEX(Durchläufe!$C$2:$C$25,MATCH(B176,Durchläufe!$A$2:$A$25,0)),"?"))</f>
        <v/>
      </c>
      <c r="D176" s="11" t="str">
        <f>IF(B176="","",IFERROR(INDEX(Durchläufe!$D$2:$D$25,MATCH(B176,Durchläufe!$A$2:$A$25,0)),"?"))</f>
        <v/>
      </c>
      <c r="E176" s="18"/>
      <c r="F176" s="18"/>
      <c r="G176" s="18"/>
      <c r="H176" s="18"/>
      <c r="I176" s="18"/>
      <c r="J176" s="18"/>
    </row>
    <row r="177" spans="1:10" x14ac:dyDescent="0.35">
      <c r="A177" s="14">
        <v>176</v>
      </c>
      <c r="B177" s="18"/>
      <c r="C177" s="11" t="str">
        <f>IF(B177="","",IFERROR(INDEX(Durchläufe!$C$2:$C$25,MATCH(B177,Durchläufe!$A$2:$A$25,0)),"?"))</f>
        <v/>
      </c>
      <c r="D177" s="11" t="str">
        <f>IF(B177="","",IFERROR(INDEX(Durchläufe!$D$2:$D$25,MATCH(B177,Durchläufe!$A$2:$A$25,0)),"?"))</f>
        <v/>
      </c>
      <c r="E177" s="18"/>
      <c r="F177" s="18"/>
      <c r="G177" s="18"/>
      <c r="H177" s="18"/>
      <c r="I177" s="18"/>
      <c r="J177" s="18"/>
    </row>
    <row r="178" spans="1:10" x14ac:dyDescent="0.35">
      <c r="A178" s="14">
        <v>177</v>
      </c>
      <c r="B178" s="18"/>
      <c r="C178" s="11" t="str">
        <f>IF(B178="","",IFERROR(INDEX(Durchläufe!$C$2:$C$25,MATCH(B178,Durchläufe!$A$2:$A$25,0)),"?"))</f>
        <v/>
      </c>
      <c r="D178" s="11" t="str">
        <f>IF(B178="","",IFERROR(INDEX(Durchläufe!$D$2:$D$25,MATCH(B178,Durchläufe!$A$2:$A$25,0)),"?"))</f>
        <v/>
      </c>
      <c r="E178" s="18"/>
      <c r="F178" s="18"/>
      <c r="G178" s="18"/>
      <c r="H178" s="18"/>
      <c r="I178" s="18"/>
      <c r="J178" s="18"/>
    </row>
    <row r="179" spans="1:10" x14ac:dyDescent="0.35">
      <c r="A179" s="14">
        <v>178</v>
      </c>
      <c r="B179" s="18"/>
      <c r="C179" s="11" t="str">
        <f>IF(B179="","",IFERROR(INDEX(Durchläufe!$C$2:$C$25,MATCH(B179,Durchläufe!$A$2:$A$25,0)),"?"))</f>
        <v/>
      </c>
      <c r="D179" s="11" t="str">
        <f>IF(B179="","",IFERROR(INDEX(Durchläufe!$D$2:$D$25,MATCH(B179,Durchläufe!$A$2:$A$25,0)),"?"))</f>
        <v/>
      </c>
      <c r="E179" s="18"/>
      <c r="F179" s="18"/>
      <c r="G179" s="18"/>
      <c r="H179" s="18"/>
      <c r="I179" s="18"/>
      <c r="J179" s="18"/>
    </row>
    <row r="180" spans="1:10" x14ac:dyDescent="0.35">
      <c r="A180" s="14">
        <v>179</v>
      </c>
      <c r="B180" s="18"/>
      <c r="C180" s="11" t="str">
        <f>IF(B180="","",IFERROR(INDEX(Durchläufe!$C$2:$C$25,MATCH(B180,Durchläufe!$A$2:$A$25,0)),"?"))</f>
        <v/>
      </c>
      <c r="D180" s="11" t="str">
        <f>IF(B180="","",IFERROR(INDEX(Durchläufe!$D$2:$D$25,MATCH(B180,Durchläufe!$A$2:$A$25,0)),"?"))</f>
        <v/>
      </c>
      <c r="E180" s="18"/>
      <c r="F180" s="18"/>
      <c r="G180" s="18"/>
      <c r="H180" s="18"/>
      <c r="I180" s="18"/>
      <c r="J180" s="18"/>
    </row>
    <row r="181" spans="1:10" x14ac:dyDescent="0.35">
      <c r="A181" s="14">
        <v>180</v>
      </c>
      <c r="B181" s="18"/>
      <c r="C181" s="11" t="str">
        <f>IF(B181="","",IFERROR(INDEX(Durchläufe!$C$2:$C$25,MATCH(B181,Durchläufe!$A$2:$A$25,0)),"?"))</f>
        <v/>
      </c>
      <c r="D181" s="11" t="str">
        <f>IF(B181="","",IFERROR(INDEX(Durchläufe!$D$2:$D$25,MATCH(B181,Durchläufe!$A$2:$A$25,0)),"?"))</f>
        <v/>
      </c>
      <c r="E181" s="18"/>
      <c r="F181" s="18"/>
      <c r="G181" s="18"/>
      <c r="H181" s="18"/>
      <c r="I181" s="18"/>
      <c r="J181" s="18"/>
    </row>
    <row r="182" spans="1:10" x14ac:dyDescent="0.35">
      <c r="A182" s="14">
        <v>181</v>
      </c>
      <c r="B182" s="18"/>
      <c r="C182" s="11" t="str">
        <f>IF(B182="","",IFERROR(INDEX(Durchläufe!$C$2:$C$25,MATCH(B182,Durchläufe!$A$2:$A$25,0)),"?"))</f>
        <v/>
      </c>
      <c r="D182" s="11" t="str">
        <f>IF(B182="","",IFERROR(INDEX(Durchläufe!$D$2:$D$25,MATCH(B182,Durchläufe!$A$2:$A$25,0)),"?"))</f>
        <v/>
      </c>
      <c r="E182" s="18"/>
      <c r="F182" s="18"/>
      <c r="G182" s="18"/>
      <c r="H182" s="18"/>
      <c r="I182" s="18"/>
      <c r="J182" s="18"/>
    </row>
    <row r="183" spans="1:10" x14ac:dyDescent="0.35">
      <c r="A183" s="14">
        <v>182</v>
      </c>
      <c r="B183" s="18"/>
      <c r="C183" s="11" t="str">
        <f>IF(B183="","",IFERROR(INDEX(Durchläufe!$C$2:$C$25,MATCH(B183,Durchläufe!$A$2:$A$25,0)),"?"))</f>
        <v/>
      </c>
      <c r="D183" s="11" t="str">
        <f>IF(B183="","",IFERROR(INDEX(Durchläufe!$D$2:$D$25,MATCH(B183,Durchläufe!$A$2:$A$25,0)),"?"))</f>
        <v/>
      </c>
      <c r="E183" s="18"/>
      <c r="F183" s="18"/>
      <c r="G183" s="18"/>
      <c r="H183" s="18"/>
      <c r="I183" s="18"/>
      <c r="J183" s="18"/>
    </row>
    <row r="184" spans="1:10" x14ac:dyDescent="0.35">
      <c r="A184" s="14">
        <v>183</v>
      </c>
      <c r="B184" s="18"/>
      <c r="C184" s="11" t="str">
        <f>IF(B184="","",IFERROR(INDEX(Durchläufe!$C$2:$C$25,MATCH(B184,Durchläufe!$A$2:$A$25,0)),"?"))</f>
        <v/>
      </c>
      <c r="D184" s="11" t="str">
        <f>IF(B184="","",IFERROR(INDEX(Durchläufe!$D$2:$D$25,MATCH(B184,Durchläufe!$A$2:$A$25,0)),"?"))</f>
        <v/>
      </c>
      <c r="E184" s="18"/>
      <c r="F184" s="18"/>
      <c r="G184" s="18"/>
      <c r="H184" s="18"/>
      <c r="I184" s="18"/>
      <c r="J184" s="18"/>
    </row>
    <row r="185" spans="1:10" x14ac:dyDescent="0.35">
      <c r="A185" s="14">
        <v>184</v>
      </c>
      <c r="B185" s="18"/>
      <c r="C185" s="11" t="str">
        <f>IF(B185="","",IFERROR(INDEX(Durchläufe!$C$2:$C$25,MATCH(B185,Durchläufe!$A$2:$A$25,0)),"?"))</f>
        <v/>
      </c>
      <c r="D185" s="11" t="str">
        <f>IF(B185="","",IFERROR(INDEX(Durchläufe!$D$2:$D$25,MATCH(B185,Durchläufe!$A$2:$A$25,0)),"?"))</f>
        <v/>
      </c>
      <c r="E185" s="18"/>
      <c r="F185" s="18"/>
      <c r="G185" s="18"/>
      <c r="H185" s="18"/>
      <c r="I185" s="18"/>
      <c r="J185" s="18"/>
    </row>
    <row r="186" spans="1:10" x14ac:dyDescent="0.35">
      <c r="A186" s="14">
        <v>185</v>
      </c>
      <c r="B186" s="18"/>
      <c r="C186" s="11" t="str">
        <f>IF(B186="","",IFERROR(INDEX(Durchläufe!$C$2:$C$25,MATCH(B186,Durchläufe!$A$2:$A$25,0)),"?"))</f>
        <v/>
      </c>
      <c r="D186" s="11" t="str">
        <f>IF(B186="","",IFERROR(INDEX(Durchläufe!$D$2:$D$25,MATCH(B186,Durchläufe!$A$2:$A$25,0)),"?"))</f>
        <v/>
      </c>
      <c r="E186" s="18"/>
      <c r="F186" s="18"/>
      <c r="G186" s="18"/>
      <c r="H186" s="18"/>
      <c r="I186" s="18"/>
      <c r="J186" s="18"/>
    </row>
    <row r="187" spans="1:10" x14ac:dyDescent="0.35">
      <c r="A187" s="14">
        <v>186</v>
      </c>
      <c r="B187" s="18"/>
      <c r="C187" s="11" t="str">
        <f>IF(B187="","",IFERROR(INDEX(Durchläufe!$C$2:$C$25,MATCH(B187,Durchläufe!$A$2:$A$25,0)),"?"))</f>
        <v/>
      </c>
      <c r="D187" s="11" t="str">
        <f>IF(B187="","",IFERROR(INDEX(Durchläufe!$D$2:$D$25,MATCH(B187,Durchläufe!$A$2:$A$25,0)),"?"))</f>
        <v/>
      </c>
      <c r="E187" s="18"/>
      <c r="F187" s="18"/>
      <c r="G187" s="18"/>
      <c r="H187" s="18"/>
      <c r="I187" s="18"/>
      <c r="J187" s="18"/>
    </row>
    <row r="188" spans="1:10" x14ac:dyDescent="0.35">
      <c r="A188" s="14">
        <v>187</v>
      </c>
      <c r="B188" s="18"/>
      <c r="C188" s="11" t="str">
        <f>IF(B188="","",IFERROR(INDEX(Durchläufe!$C$2:$C$25,MATCH(B188,Durchläufe!$A$2:$A$25,0)),"?"))</f>
        <v/>
      </c>
      <c r="D188" s="11" t="str">
        <f>IF(B188="","",IFERROR(INDEX(Durchläufe!$D$2:$D$25,MATCH(B188,Durchläufe!$A$2:$A$25,0)),"?"))</f>
        <v/>
      </c>
      <c r="E188" s="18"/>
      <c r="F188" s="18"/>
      <c r="G188" s="18"/>
      <c r="H188" s="18"/>
      <c r="I188" s="18"/>
      <c r="J188" s="18"/>
    </row>
    <row r="189" spans="1:10" x14ac:dyDescent="0.35">
      <c r="A189" s="14">
        <v>188</v>
      </c>
      <c r="B189" s="18"/>
      <c r="C189" s="11" t="str">
        <f>IF(B189="","",IFERROR(INDEX(Durchläufe!$C$2:$C$25,MATCH(B189,Durchläufe!$A$2:$A$25,0)),"?"))</f>
        <v/>
      </c>
      <c r="D189" s="11" t="str">
        <f>IF(B189="","",IFERROR(INDEX(Durchläufe!$D$2:$D$25,MATCH(B189,Durchläufe!$A$2:$A$25,0)),"?"))</f>
        <v/>
      </c>
      <c r="E189" s="18"/>
      <c r="F189" s="18"/>
      <c r="G189" s="18"/>
      <c r="H189" s="18"/>
      <c r="I189" s="18"/>
      <c r="J189" s="18"/>
    </row>
    <row r="190" spans="1:10" x14ac:dyDescent="0.35">
      <c r="A190" s="14">
        <v>189</v>
      </c>
      <c r="B190" s="18"/>
      <c r="C190" s="11" t="str">
        <f>IF(B190="","",IFERROR(INDEX(Durchläufe!$C$2:$C$25,MATCH(B190,Durchläufe!$A$2:$A$25,0)),"?"))</f>
        <v/>
      </c>
      <c r="D190" s="11" t="str">
        <f>IF(B190="","",IFERROR(INDEX(Durchläufe!$D$2:$D$25,MATCH(B190,Durchläufe!$A$2:$A$25,0)),"?"))</f>
        <v/>
      </c>
      <c r="E190" s="18"/>
      <c r="F190" s="18"/>
      <c r="G190" s="18"/>
      <c r="H190" s="18"/>
      <c r="I190" s="18"/>
      <c r="J190" s="18"/>
    </row>
    <row r="191" spans="1:10" x14ac:dyDescent="0.35">
      <c r="A191" s="14">
        <v>190</v>
      </c>
      <c r="B191" s="18"/>
      <c r="C191" s="11" t="str">
        <f>IF(B191="","",IFERROR(INDEX(Durchläufe!$C$2:$C$25,MATCH(B191,Durchläufe!$A$2:$A$25,0)),"?"))</f>
        <v/>
      </c>
      <c r="D191" s="11" t="str">
        <f>IF(B191="","",IFERROR(INDEX(Durchläufe!$D$2:$D$25,MATCH(B191,Durchläufe!$A$2:$A$25,0)),"?"))</f>
        <v/>
      </c>
      <c r="E191" s="18"/>
      <c r="F191" s="18"/>
      <c r="G191" s="18"/>
      <c r="H191" s="18"/>
      <c r="I191" s="18"/>
      <c r="J191" s="18"/>
    </row>
    <row r="192" spans="1:10" x14ac:dyDescent="0.35">
      <c r="A192" s="14">
        <v>191</v>
      </c>
      <c r="B192" s="18"/>
      <c r="C192" s="11" t="str">
        <f>IF(B192="","",IFERROR(INDEX(Durchläufe!$C$2:$C$25,MATCH(B192,Durchläufe!$A$2:$A$25,0)),"?"))</f>
        <v/>
      </c>
      <c r="D192" s="11" t="str">
        <f>IF(B192="","",IFERROR(INDEX(Durchläufe!$D$2:$D$25,MATCH(B192,Durchläufe!$A$2:$A$25,0)),"?"))</f>
        <v/>
      </c>
      <c r="E192" s="18"/>
      <c r="F192" s="18"/>
      <c r="G192" s="18"/>
      <c r="H192" s="18"/>
      <c r="I192" s="18"/>
      <c r="J192" s="18"/>
    </row>
    <row r="193" spans="1:10" x14ac:dyDescent="0.35">
      <c r="A193" s="14">
        <v>192</v>
      </c>
      <c r="B193" s="18"/>
      <c r="C193" s="11" t="str">
        <f>IF(B193="","",IFERROR(INDEX(Durchläufe!$C$2:$C$25,MATCH(B193,Durchläufe!$A$2:$A$25,0)),"?"))</f>
        <v/>
      </c>
      <c r="D193" s="11" t="str">
        <f>IF(B193="","",IFERROR(INDEX(Durchläufe!$D$2:$D$25,MATCH(B193,Durchläufe!$A$2:$A$25,0)),"?"))</f>
        <v/>
      </c>
      <c r="E193" s="18"/>
      <c r="F193" s="18"/>
      <c r="G193" s="18"/>
      <c r="H193" s="18"/>
      <c r="I193" s="18"/>
      <c r="J193" s="18"/>
    </row>
    <row r="194" spans="1:10" x14ac:dyDescent="0.35">
      <c r="A194" s="14">
        <v>193</v>
      </c>
      <c r="B194" s="18"/>
      <c r="C194" s="11" t="str">
        <f>IF(B194="","",IFERROR(INDEX(Durchläufe!$C$2:$C$25,MATCH(B194,Durchläufe!$A$2:$A$25,0)),"?"))</f>
        <v/>
      </c>
      <c r="D194" s="11" t="str">
        <f>IF(B194="","",IFERROR(INDEX(Durchläufe!$D$2:$D$25,MATCH(B194,Durchläufe!$A$2:$A$25,0)),"?"))</f>
        <v/>
      </c>
      <c r="E194" s="18"/>
      <c r="F194" s="18"/>
      <c r="G194" s="18"/>
      <c r="H194" s="18"/>
      <c r="I194" s="18"/>
      <c r="J194" s="18"/>
    </row>
    <row r="195" spans="1:10" x14ac:dyDescent="0.35">
      <c r="A195" s="14">
        <v>194</v>
      </c>
      <c r="B195" s="18"/>
      <c r="C195" s="11" t="str">
        <f>IF(B195="","",IFERROR(INDEX(Durchläufe!$C$2:$C$25,MATCH(B195,Durchläufe!$A$2:$A$25,0)),"?"))</f>
        <v/>
      </c>
      <c r="D195" s="11" t="str">
        <f>IF(B195="","",IFERROR(INDEX(Durchläufe!$D$2:$D$25,MATCH(B195,Durchläufe!$A$2:$A$25,0)),"?"))</f>
        <v/>
      </c>
      <c r="E195" s="18"/>
      <c r="F195" s="18"/>
      <c r="G195" s="18"/>
      <c r="H195" s="18"/>
      <c r="I195" s="18"/>
      <c r="J195" s="18"/>
    </row>
    <row r="196" spans="1:10" x14ac:dyDescent="0.35">
      <c r="A196" s="14">
        <v>195</v>
      </c>
      <c r="B196" s="18"/>
      <c r="C196" s="11" t="str">
        <f>IF(B196="","",IFERROR(INDEX(Durchläufe!$C$2:$C$25,MATCH(B196,Durchläufe!$A$2:$A$25,0)),"?"))</f>
        <v/>
      </c>
      <c r="D196" s="11" t="str">
        <f>IF(B196="","",IFERROR(INDEX(Durchläufe!$D$2:$D$25,MATCH(B196,Durchläufe!$A$2:$A$25,0)),"?"))</f>
        <v/>
      </c>
      <c r="E196" s="18"/>
      <c r="F196" s="18"/>
      <c r="G196" s="18"/>
      <c r="H196" s="18"/>
      <c r="I196" s="18"/>
      <c r="J196" s="18"/>
    </row>
    <row r="197" spans="1:10" x14ac:dyDescent="0.35">
      <c r="A197" s="14">
        <v>196</v>
      </c>
      <c r="B197" s="18"/>
      <c r="C197" s="11" t="str">
        <f>IF(B197="","",IFERROR(INDEX(Durchläufe!$C$2:$C$25,MATCH(B197,Durchläufe!$A$2:$A$25,0)),"?"))</f>
        <v/>
      </c>
      <c r="D197" s="11" t="str">
        <f>IF(B197="","",IFERROR(INDEX(Durchläufe!$D$2:$D$25,MATCH(B197,Durchläufe!$A$2:$A$25,0)),"?"))</f>
        <v/>
      </c>
      <c r="E197" s="18"/>
      <c r="F197" s="18"/>
      <c r="G197" s="18"/>
      <c r="H197" s="18"/>
      <c r="I197" s="18"/>
      <c r="J197" s="18"/>
    </row>
    <row r="198" spans="1:10" x14ac:dyDescent="0.35">
      <c r="A198" s="14">
        <v>197</v>
      </c>
      <c r="B198" s="18"/>
      <c r="C198" s="11" t="str">
        <f>IF(B198="","",IFERROR(INDEX(Durchläufe!$C$2:$C$25,MATCH(B198,Durchläufe!$A$2:$A$25,0)),"?"))</f>
        <v/>
      </c>
      <c r="D198" s="11" t="str">
        <f>IF(B198="","",IFERROR(INDEX(Durchläufe!$D$2:$D$25,MATCH(B198,Durchläufe!$A$2:$A$25,0)),"?"))</f>
        <v/>
      </c>
      <c r="E198" s="18"/>
      <c r="F198" s="18"/>
      <c r="G198" s="18"/>
      <c r="H198" s="18"/>
      <c r="I198" s="18"/>
      <c r="J198" s="18"/>
    </row>
    <row r="199" spans="1:10" x14ac:dyDescent="0.35">
      <c r="A199" s="14">
        <v>198</v>
      </c>
      <c r="B199" s="18"/>
      <c r="C199" s="11" t="str">
        <f>IF(B199="","",IFERROR(INDEX(Durchläufe!$C$2:$C$25,MATCH(B199,Durchläufe!$A$2:$A$25,0)),"?"))</f>
        <v/>
      </c>
      <c r="D199" s="11" t="str">
        <f>IF(B199="","",IFERROR(INDEX(Durchläufe!$D$2:$D$25,MATCH(B199,Durchläufe!$A$2:$A$25,0)),"?"))</f>
        <v/>
      </c>
      <c r="E199" s="18"/>
      <c r="F199" s="18"/>
      <c r="G199" s="18"/>
      <c r="H199" s="18"/>
      <c r="I199" s="18"/>
      <c r="J199" s="18"/>
    </row>
  </sheetData>
  <dataValidations count="3">
    <dataValidation type="list" allowBlank="1" error="Bitte einen Wert aus der Liste wählen." sqref="F2:F199" xr:uid="{00000000-0002-0000-0300-000000000000}">
      <formula1>"Vollständigkeit,Korrektheit,Konsistenz,Nachvollziehbarkeit"</formula1>
    </dataValidation>
    <dataValidation type="list" allowBlank="1" error="Bitte einen Wert aus der Liste wählen." sqref="G2:G199 I2:I199" xr:uid="{00000000-0002-0000-0300-000001000000}">
      <formula1>"ja,nein"</formula1>
    </dataValidation>
    <dataValidation type="list" allowBlank="1" showInputMessage="1" showErrorMessage="1" sqref="H2:H199" xr:uid="{8132E1B6-6959-42DA-98B6-2AFBA485E339}">
      <mc:AlternateContent xmlns:x12ac="http://schemas.microsoft.com/office/spreadsheetml/2011/1/ac" xmlns:mc="http://schemas.openxmlformats.org/markup-compatibility/2006">
        <mc:Choice Requires="x12ac">
          <x12ac:list>"Formular,Server,CC bei Prüfung,AdHoc verworfen,gar nicht"</x12ac:list>
        </mc:Choice>
        <mc:Fallback>
          <formula1>"Formular,Server,CC bei Prüfung,AdHoc verworfen,gar nicht"</formula1>
        </mc:Fallback>
      </mc:AlternateContent>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41"/>
  <sheetViews>
    <sheetView workbookViewId="0">
      <pane ySplit="1" topLeftCell="A2" activePane="bottomLeft" state="frozen"/>
      <selection pane="bottomLeft"/>
    </sheetView>
  </sheetViews>
  <sheetFormatPr baseColWidth="10" defaultColWidth="8.7265625" defaultRowHeight="14.5" x14ac:dyDescent="0.35"/>
  <cols>
    <col min="1" max="1" width="10" customWidth="1"/>
    <col min="2" max="2" width="8" customWidth="1"/>
    <col min="3" max="3" width="7" customWidth="1"/>
    <col min="4" max="4" width="26" customWidth="1"/>
    <col min="5" max="6" width="30" customWidth="1"/>
    <col min="7" max="7" width="11" customWidth="1"/>
    <col min="8" max="8" width="10" customWidth="1"/>
    <col min="9" max="9" width="36" customWidth="1"/>
  </cols>
  <sheetData>
    <row r="1" spans="1:9" ht="32" customHeight="1" x14ac:dyDescent="0.35">
      <c r="A1" s="17" t="s">
        <v>107</v>
      </c>
      <c r="B1" s="17" t="s">
        <v>49</v>
      </c>
      <c r="C1" s="17" t="s">
        <v>73</v>
      </c>
      <c r="D1" s="17" t="s">
        <v>113</v>
      </c>
      <c r="E1" s="17" t="s">
        <v>114</v>
      </c>
      <c r="F1" s="17" t="s">
        <v>115</v>
      </c>
      <c r="G1" s="17" t="s">
        <v>116</v>
      </c>
      <c r="H1" s="17" t="s">
        <v>117</v>
      </c>
      <c r="I1" s="17" t="s">
        <v>94</v>
      </c>
    </row>
    <row r="2" spans="1:9" x14ac:dyDescent="0.35">
      <c r="A2" s="14">
        <v>1</v>
      </c>
      <c r="B2" s="14" t="s">
        <v>53</v>
      </c>
      <c r="C2" s="14" t="s">
        <v>102</v>
      </c>
      <c r="D2" s="14" t="s">
        <v>118</v>
      </c>
      <c r="E2" s="24" t="str">
        <f>Testdaten!$B$4</f>
        <v>120990497</v>
      </c>
      <c r="F2" s="18"/>
      <c r="G2" s="18"/>
      <c r="H2" s="18"/>
      <c r="I2" s="18"/>
    </row>
    <row r="3" spans="1:9" x14ac:dyDescent="0.35">
      <c r="A3" s="14">
        <v>1</v>
      </c>
      <c r="B3" s="14" t="s">
        <v>53</v>
      </c>
      <c r="C3" s="14" t="s">
        <v>102</v>
      </c>
      <c r="D3" s="14" t="s">
        <v>32</v>
      </c>
      <c r="E3" s="24" t="str">
        <f>Testdaten!$B$12</f>
        <v>Vodafone / Vantage</v>
      </c>
      <c r="F3" s="18"/>
      <c r="G3" s="18"/>
      <c r="H3" s="18"/>
      <c r="I3" s="18"/>
    </row>
    <row r="4" spans="1:9" x14ac:dyDescent="0.35">
      <c r="A4" s="14">
        <v>1</v>
      </c>
      <c r="B4" s="14" t="s">
        <v>53</v>
      </c>
      <c r="C4" s="14" t="s">
        <v>102</v>
      </c>
      <c r="D4" s="14" t="s">
        <v>36</v>
      </c>
      <c r="E4" s="24" t="str">
        <f>Testdaten!$B$14</f>
        <v>Max Mustermann</v>
      </c>
      <c r="F4" s="18"/>
      <c r="G4" s="18"/>
      <c r="H4" s="18"/>
      <c r="I4" s="18"/>
    </row>
    <row r="5" spans="1:9" x14ac:dyDescent="0.35">
      <c r="A5" s="14">
        <v>1</v>
      </c>
      <c r="B5" s="14" t="s">
        <v>53</v>
      </c>
      <c r="C5" s="14" t="s">
        <v>102</v>
      </c>
      <c r="D5" s="14" t="s">
        <v>38</v>
      </c>
      <c r="E5" s="24" t="str">
        <f>Testdaten!$B$15</f>
        <v>+49 171 1234567</v>
      </c>
      <c r="F5" s="18"/>
      <c r="G5" s="18"/>
      <c r="H5" s="18"/>
      <c r="I5" s="18"/>
    </row>
    <row r="6" spans="1:9" x14ac:dyDescent="0.35">
      <c r="A6" s="14">
        <v>1</v>
      </c>
      <c r="B6" s="14" t="s">
        <v>53</v>
      </c>
      <c r="C6" s="14" t="s">
        <v>102</v>
      </c>
      <c r="D6" s="14" t="s">
        <v>40</v>
      </c>
      <c r="E6" s="24" t="str">
        <f>Testdaten!$B$16</f>
        <v>Erika Musterfrau</v>
      </c>
      <c r="F6" s="18"/>
      <c r="G6" s="18"/>
      <c r="H6" s="18"/>
      <c r="I6" s="18"/>
    </row>
    <row r="7" spans="1:9" x14ac:dyDescent="0.35">
      <c r="A7" s="14">
        <v>1</v>
      </c>
      <c r="B7" s="14" t="s">
        <v>53</v>
      </c>
      <c r="C7" s="14" t="s">
        <v>102</v>
      </c>
      <c r="D7" s="14" t="s">
        <v>42</v>
      </c>
      <c r="E7" s="24" t="str">
        <f>Testdaten!$B$17</f>
        <v>+49 160 7654321</v>
      </c>
      <c r="F7" s="18"/>
      <c r="G7" s="18"/>
      <c r="H7" s="18"/>
      <c r="I7" s="18"/>
    </row>
    <row r="8" spans="1:9" x14ac:dyDescent="0.35">
      <c r="A8" s="14">
        <v>1</v>
      </c>
      <c r="B8" s="14" t="s">
        <v>53</v>
      </c>
      <c r="C8" s="14" t="s">
        <v>102</v>
      </c>
      <c r="D8" s="14" t="s">
        <v>44</v>
      </c>
      <c r="E8" s="24" t="str">
        <f>Testdaten!$B$18</f>
        <v>ASI Abschaltung</v>
      </c>
      <c r="F8" s="18"/>
      <c r="G8" s="18"/>
      <c r="H8" s="18"/>
      <c r="I8" s="18"/>
    </row>
    <row r="9" spans="1:9" x14ac:dyDescent="0.35">
      <c r="A9" s="14">
        <v>1</v>
      </c>
      <c r="B9" s="14" t="s">
        <v>53</v>
      </c>
      <c r="C9" s="14" t="s">
        <v>102</v>
      </c>
      <c r="D9" s="14" t="s">
        <v>50</v>
      </c>
      <c r="E9" s="16">
        <f>Testdaten!$B$23</f>
        <v>46321.333333333336</v>
      </c>
      <c r="F9" s="18"/>
      <c r="G9" s="18"/>
      <c r="H9" s="18"/>
      <c r="I9" s="18"/>
    </row>
    <row r="10" spans="1:9" x14ac:dyDescent="0.35">
      <c r="A10" s="14">
        <v>1</v>
      </c>
      <c r="B10" s="14" t="s">
        <v>53</v>
      </c>
      <c r="C10" s="14" t="s">
        <v>102</v>
      </c>
      <c r="D10" s="14" t="s">
        <v>51</v>
      </c>
      <c r="E10" s="16">
        <f>Testdaten!$C$23</f>
        <v>46321.375</v>
      </c>
      <c r="F10" s="18"/>
      <c r="G10" s="18"/>
      <c r="H10" s="18"/>
      <c r="I10" s="18"/>
    </row>
    <row r="11" spans="1:9" x14ac:dyDescent="0.35">
      <c r="A11" s="14">
        <v>1</v>
      </c>
      <c r="B11" s="14" t="s">
        <v>53</v>
      </c>
      <c r="C11" s="14" t="s">
        <v>102</v>
      </c>
      <c r="D11" s="14" t="s">
        <v>119</v>
      </c>
      <c r="E11" s="24" t="s">
        <v>120</v>
      </c>
      <c r="F11" s="18"/>
      <c r="G11" s="18"/>
      <c r="H11" s="18"/>
      <c r="I11" s="18"/>
    </row>
    <row r="12" spans="1:9" x14ac:dyDescent="0.35">
      <c r="A12" s="14">
        <v>2</v>
      </c>
      <c r="B12" s="14" t="s">
        <v>53</v>
      </c>
      <c r="C12" s="14" t="s">
        <v>103</v>
      </c>
      <c r="D12" s="14" t="s">
        <v>118</v>
      </c>
      <c r="E12" s="24" t="str">
        <f>Testdaten!$B$4</f>
        <v>120990497</v>
      </c>
      <c r="F12" s="18"/>
      <c r="G12" s="18"/>
      <c r="H12" s="18"/>
      <c r="I12" s="18"/>
    </row>
    <row r="13" spans="1:9" x14ac:dyDescent="0.35">
      <c r="A13" s="14">
        <v>2</v>
      </c>
      <c r="B13" s="14" t="s">
        <v>53</v>
      </c>
      <c r="C13" s="14" t="s">
        <v>103</v>
      </c>
      <c r="D13" s="14" t="s">
        <v>32</v>
      </c>
      <c r="E13" s="24" t="str">
        <f>Testdaten!$B$12</f>
        <v>Vodafone / Vantage</v>
      </c>
      <c r="F13" s="18"/>
      <c r="G13" s="18"/>
      <c r="H13" s="18"/>
      <c r="I13" s="18"/>
    </row>
    <row r="14" spans="1:9" x14ac:dyDescent="0.35">
      <c r="A14" s="14">
        <v>2</v>
      </c>
      <c r="B14" s="14" t="s">
        <v>53</v>
      </c>
      <c r="C14" s="14" t="s">
        <v>103</v>
      </c>
      <c r="D14" s="14" t="s">
        <v>36</v>
      </c>
      <c r="E14" s="24" t="str">
        <f>Testdaten!$B$14</f>
        <v>Max Mustermann</v>
      </c>
      <c r="F14" s="18"/>
      <c r="G14" s="18"/>
      <c r="H14" s="18"/>
      <c r="I14" s="18"/>
    </row>
    <row r="15" spans="1:9" x14ac:dyDescent="0.35">
      <c r="A15" s="14">
        <v>2</v>
      </c>
      <c r="B15" s="14" t="s">
        <v>53</v>
      </c>
      <c r="C15" s="14" t="s">
        <v>103</v>
      </c>
      <c r="D15" s="14" t="s">
        <v>38</v>
      </c>
      <c r="E15" s="24" t="str">
        <f>Testdaten!$B$15</f>
        <v>+49 171 1234567</v>
      </c>
      <c r="F15" s="18"/>
      <c r="G15" s="18"/>
      <c r="H15" s="18"/>
      <c r="I15" s="18"/>
    </row>
    <row r="16" spans="1:9" x14ac:dyDescent="0.35">
      <c r="A16" s="14">
        <v>2</v>
      </c>
      <c r="B16" s="14" t="s">
        <v>53</v>
      </c>
      <c r="C16" s="14" t="s">
        <v>103</v>
      </c>
      <c r="D16" s="14" t="s">
        <v>40</v>
      </c>
      <c r="E16" s="24" t="str">
        <f>Testdaten!$B$16</f>
        <v>Erika Musterfrau</v>
      </c>
      <c r="F16" s="18"/>
      <c r="G16" s="18"/>
      <c r="H16" s="18"/>
      <c r="I16" s="18"/>
    </row>
    <row r="17" spans="1:9" x14ac:dyDescent="0.35">
      <c r="A17" s="14">
        <v>2</v>
      </c>
      <c r="B17" s="14" t="s">
        <v>53</v>
      </c>
      <c r="C17" s="14" t="s">
        <v>103</v>
      </c>
      <c r="D17" s="14" t="s">
        <v>42</v>
      </c>
      <c r="E17" s="24" t="str">
        <f>Testdaten!$B$17</f>
        <v>+49 160 7654321</v>
      </c>
      <c r="F17" s="18"/>
      <c r="G17" s="18"/>
      <c r="H17" s="18"/>
      <c r="I17" s="18"/>
    </row>
    <row r="18" spans="1:9" x14ac:dyDescent="0.35">
      <c r="A18" s="14">
        <v>2</v>
      </c>
      <c r="B18" s="14" t="s">
        <v>53</v>
      </c>
      <c r="C18" s="14" t="s">
        <v>103</v>
      </c>
      <c r="D18" s="14" t="s">
        <v>44</v>
      </c>
      <c r="E18" s="24" t="str">
        <f>Testdaten!$B$18</f>
        <v>ASI Abschaltung</v>
      </c>
      <c r="F18" s="18"/>
      <c r="G18" s="18"/>
      <c r="H18" s="18"/>
      <c r="I18" s="18"/>
    </row>
    <row r="19" spans="1:9" x14ac:dyDescent="0.35">
      <c r="A19" s="14">
        <v>2</v>
      </c>
      <c r="B19" s="14" t="s">
        <v>53</v>
      </c>
      <c r="C19" s="14" t="s">
        <v>103</v>
      </c>
      <c r="D19" s="14" t="s">
        <v>50</v>
      </c>
      <c r="E19" s="16">
        <f>Testdaten!$B$23</f>
        <v>46321.333333333336</v>
      </c>
      <c r="F19" s="18"/>
      <c r="G19" s="18"/>
      <c r="H19" s="18"/>
      <c r="I19" s="18"/>
    </row>
    <row r="20" spans="1:9" x14ac:dyDescent="0.35">
      <c r="A20" s="14">
        <v>2</v>
      </c>
      <c r="B20" s="14" t="s">
        <v>53</v>
      </c>
      <c r="C20" s="14" t="s">
        <v>103</v>
      </c>
      <c r="D20" s="14" t="s">
        <v>51</v>
      </c>
      <c r="E20" s="16">
        <f>Testdaten!$C$23</f>
        <v>46321.375</v>
      </c>
      <c r="F20" s="18"/>
      <c r="G20" s="18"/>
      <c r="H20" s="18"/>
      <c r="I20" s="18"/>
    </row>
    <row r="21" spans="1:9" x14ac:dyDescent="0.35">
      <c r="A21" s="14">
        <v>2</v>
      </c>
      <c r="B21" s="14" t="s">
        <v>53</v>
      </c>
      <c r="C21" s="14" t="s">
        <v>103</v>
      </c>
      <c r="D21" s="14" t="s">
        <v>119</v>
      </c>
      <c r="E21" s="24" t="s">
        <v>120</v>
      </c>
      <c r="F21" s="18"/>
      <c r="G21" s="18"/>
      <c r="H21" s="18"/>
      <c r="I21" s="18"/>
    </row>
    <row r="22" spans="1:9" x14ac:dyDescent="0.35">
      <c r="A22" s="14">
        <v>3</v>
      </c>
      <c r="B22" s="14" t="s">
        <v>55</v>
      </c>
      <c r="C22" s="14" t="s">
        <v>103</v>
      </c>
      <c r="D22" s="14" t="s">
        <v>118</v>
      </c>
      <c r="E22" s="24" t="s">
        <v>187</v>
      </c>
      <c r="F22" s="18"/>
      <c r="G22" s="18"/>
      <c r="H22" s="18"/>
      <c r="I22" s="18"/>
    </row>
    <row r="23" spans="1:9" x14ac:dyDescent="0.35">
      <c r="A23" s="14">
        <v>3</v>
      </c>
      <c r="B23" s="14" t="s">
        <v>55</v>
      </c>
      <c r="C23" s="14" t="s">
        <v>103</v>
      </c>
      <c r="D23" s="14" t="s">
        <v>32</v>
      </c>
      <c r="E23" s="24" t="str">
        <f>Testdaten!$B$12</f>
        <v>Vodafone / Vantage</v>
      </c>
      <c r="F23" s="18"/>
      <c r="G23" s="18"/>
      <c r="H23" s="18"/>
      <c r="I23" s="18"/>
    </row>
    <row r="24" spans="1:9" x14ac:dyDescent="0.35">
      <c r="A24" s="14">
        <v>3</v>
      </c>
      <c r="B24" s="14" t="s">
        <v>55</v>
      </c>
      <c r="C24" s="14" t="s">
        <v>103</v>
      </c>
      <c r="D24" s="14" t="s">
        <v>36</v>
      </c>
      <c r="E24" s="24" t="str">
        <f>Testdaten!$B$14</f>
        <v>Max Mustermann</v>
      </c>
      <c r="F24" s="18"/>
      <c r="G24" s="18"/>
      <c r="H24" s="18"/>
      <c r="I24" s="18"/>
    </row>
    <row r="25" spans="1:9" x14ac:dyDescent="0.35">
      <c r="A25" s="14">
        <v>3</v>
      </c>
      <c r="B25" s="14" t="s">
        <v>55</v>
      </c>
      <c r="C25" s="14" t="s">
        <v>103</v>
      </c>
      <c r="D25" s="14" t="s">
        <v>38</v>
      </c>
      <c r="E25" s="24" t="str">
        <f>Testdaten!$B$15</f>
        <v>+49 171 1234567</v>
      </c>
      <c r="F25" s="18"/>
      <c r="G25" s="18"/>
      <c r="H25" s="18"/>
      <c r="I25" s="18"/>
    </row>
    <row r="26" spans="1:9" x14ac:dyDescent="0.35">
      <c r="A26" s="14">
        <v>3</v>
      </c>
      <c r="B26" s="14" t="s">
        <v>55</v>
      </c>
      <c r="C26" s="14" t="s">
        <v>103</v>
      </c>
      <c r="D26" s="14" t="s">
        <v>40</v>
      </c>
      <c r="E26" s="24" t="str">
        <f>Testdaten!$B$16</f>
        <v>Erika Musterfrau</v>
      </c>
      <c r="F26" s="18"/>
      <c r="G26" s="18"/>
      <c r="H26" s="18"/>
      <c r="I26" s="18"/>
    </row>
    <row r="27" spans="1:9" x14ac:dyDescent="0.35">
      <c r="A27" s="14">
        <v>3</v>
      </c>
      <c r="B27" s="14" t="s">
        <v>55</v>
      </c>
      <c r="C27" s="14" t="s">
        <v>103</v>
      </c>
      <c r="D27" s="14" t="s">
        <v>42</v>
      </c>
      <c r="E27" s="24" t="str">
        <f>Testdaten!$B$17</f>
        <v>+49 160 7654321</v>
      </c>
      <c r="F27" s="18"/>
      <c r="G27" s="18"/>
      <c r="H27" s="18"/>
      <c r="I27" s="18"/>
    </row>
    <row r="28" spans="1:9" x14ac:dyDescent="0.35">
      <c r="A28" s="14">
        <v>3</v>
      </c>
      <c r="B28" s="14" t="s">
        <v>55</v>
      </c>
      <c r="C28" s="14" t="s">
        <v>103</v>
      </c>
      <c r="D28" s="14" t="s">
        <v>44</v>
      </c>
      <c r="E28" s="24" t="str">
        <f>Testdaten!$B$18</f>
        <v>ASI Abschaltung</v>
      </c>
      <c r="F28" s="18"/>
      <c r="G28" s="18"/>
      <c r="H28" s="18"/>
      <c r="I28" s="18"/>
    </row>
    <row r="29" spans="1:9" x14ac:dyDescent="0.35">
      <c r="A29" s="14">
        <v>3</v>
      </c>
      <c r="B29" s="14" t="s">
        <v>55</v>
      </c>
      <c r="C29" s="14" t="s">
        <v>103</v>
      </c>
      <c r="D29" s="14" t="s">
        <v>50</v>
      </c>
      <c r="E29" s="16">
        <f>Testdaten!$B$24</f>
        <v>46322.333333333336</v>
      </c>
      <c r="F29" s="18"/>
      <c r="G29" s="18"/>
      <c r="H29" s="18"/>
      <c r="I29" s="18"/>
    </row>
    <row r="30" spans="1:9" x14ac:dyDescent="0.35">
      <c r="A30" s="14">
        <v>3</v>
      </c>
      <c r="B30" s="14" t="s">
        <v>55</v>
      </c>
      <c r="C30" s="14" t="s">
        <v>103</v>
      </c>
      <c r="D30" s="14" t="s">
        <v>51</v>
      </c>
      <c r="E30" s="16">
        <f>Testdaten!$C$24</f>
        <v>46322.375</v>
      </c>
      <c r="F30" s="18"/>
      <c r="G30" s="18"/>
      <c r="H30" s="18"/>
      <c r="I30" s="18"/>
    </row>
    <row r="31" spans="1:9" x14ac:dyDescent="0.35">
      <c r="A31" s="14">
        <v>3</v>
      </c>
      <c r="B31" s="14" t="s">
        <v>55</v>
      </c>
      <c r="C31" s="14" t="s">
        <v>103</v>
      </c>
      <c r="D31" s="14" t="s">
        <v>119</v>
      </c>
      <c r="E31" s="24" t="s">
        <v>120</v>
      </c>
      <c r="F31" s="18"/>
      <c r="G31" s="18"/>
      <c r="H31" s="18"/>
      <c r="I31" s="18"/>
    </row>
    <row r="32" spans="1:9" x14ac:dyDescent="0.35">
      <c r="A32" s="14">
        <v>4</v>
      </c>
      <c r="B32" s="14" t="s">
        <v>55</v>
      </c>
      <c r="C32" s="14" t="s">
        <v>102</v>
      </c>
      <c r="D32" s="14" t="s">
        <v>118</v>
      </c>
      <c r="E32" s="24" t="s">
        <v>187</v>
      </c>
      <c r="F32" s="18"/>
      <c r="G32" s="18"/>
      <c r="H32" s="18"/>
      <c r="I32" s="18"/>
    </row>
    <row r="33" spans="1:9" x14ac:dyDescent="0.35">
      <c r="A33" s="14">
        <v>4</v>
      </c>
      <c r="B33" s="14" t="s">
        <v>55</v>
      </c>
      <c r="C33" s="14" t="s">
        <v>102</v>
      </c>
      <c r="D33" s="14" t="s">
        <v>32</v>
      </c>
      <c r="E33" s="24" t="str">
        <f>Testdaten!$B$12</f>
        <v>Vodafone / Vantage</v>
      </c>
      <c r="F33" s="18"/>
      <c r="G33" s="18"/>
      <c r="H33" s="18"/>
      <c r="I33" s="18"/>
    </row>
    <row r="34" spans="1:9" x14ac:dyDescent="0.35">
      <c r="A34" s="14">
        <v>4</v>
      </c>
      <c r="B34" s="14" t="s">
        <v>55</v>
      </c>
      <c r="C34" s="14" t="s">
        <v>102</v>
      </c>
      <c r="D34" s="14" t="s">
        <v>36</v>
      </c>
      <c r="E34" s="24" t="str">
        <f>Testdaten!$B$14</f>
        <v>Max Mustermann</v>
      </c>
      <c r="F34" s="18"/>
      <c r="G34" s="18"/>
      <c r="H34" s="18"/>
      <c r="I34" s="18"/>
    </row>
    <row r="35" spans="1:9" x14ac:dyDescent="0.35">
      <c r="A35" s="14">
        <v>4</v>
      </c>
      <c r="B35" s="14" t="s">
        <v>55</v>
      </c>
      <c r="C35" s="14" t="s">
        <v>102</v>
      </c>
      <c r="D35" s="14" t="s">
        <v>38</v>
      </c>
      <c r="E35" s="24" t="str">
        <f>Testdaten!$B$15</f>
        <v>+49 171 1234567</v>
      </c>
      <c r="F35" s="18"/>
      <c r="G35" s="18"/>
      <c r="H35" s="18"/>
      <c r="I35" s="18"/>
    </row>
    <row r="36" spans="1:9" x14ac:dyDescent="0.35">
      <c r="A36" s="14">
        <v>4</v>
      </c>
      <c r="B36" s="14" t="s">
        <v>55</v>
      </c>
      <c r="C36" s="14" t="s">
        <v>102</v>
      </c>
      <c r="D36" s="14" t="s">
        <v>40</v>
      </c>
      <c r="E36" s="24" t="str">
        <f>Testdaten!$B$16</f>
        <v>Erika Musterfrau</v>
      </c>
      <c r="F36" s="18"/>
      <c r="G36" s="18"/>
      <c r="H36" s="18"/>
      <c r="I36" s="18"/>
    </row>
    <row r="37" spans="1:9" x14ac:dyDescent="0.35">
      <c r="A37" s="14">
        <v>4</v>
      </c>
      <c r="B37" s="14" t="s">
        <v>55</v>
      </c>
      <c r="C37" s="14" t="s">
        <v>102</v>
      </c>
      <c r="D37" s="14" t="s">
        <v>42</v>
      </c>
      <c r="E37" s="24" t="str">
        <f>Testdaten!$B$17</f>
        <v>+49 160 7654321</v>
      </c>
      <c r="F37" s="18"/>
      <c r="G37" s="18"/>
      <c r="H37" s="18"/>
      <c r="I37" s="18"/>
    </row>
    <row r="38" spans="1:9" x14ac:dyDescent="0.35">
      <c r="A38" s="14">
        <v>4</v>
      </c>
      <c r="B38" s="14" t="s">
        <v>55</v>
      </c>
      <c r="C38" s="14" t="s">
        <v>102</v>
      </c>
      <c r="D38" s="14" t="s">
        <v>44</v>
      </c>
      <c r="E38" s="24" t="str">
        <f>Testdaten!$B$18</f>
        <v>ASI Abschaltung</v>
      </c>
      <c r="F38" s="18"/>
      <c r="G38" s="18"/>
      <c r="H38" s="18"/>
      <c r="I38" s="18"/>
    </row>
    <row r="39" spans="1:9" x14ac:dyDescent="0.35">
      <c r="A39" s="14">
        <v>4</v>
      </c>
      <c r="B39" s="14" t="s">
        <v>55</v>
      </c>
      <c r="C39" s="14" t="s">
        <v>102</v>
      </c>
      <c r="D39" s="14" t="s">
        <v>50</v>
      </c>
      <c r="E39" s="16">
        <f>Testdaten!$B$24</f>
        <v>46322.333333333336</v>
      </c>
      <c r="F39" s="18"/>
      <c r="G39" s="18"/>
      <c r="H39" s="18"/>
      <c r="I39" s="18"/>
    </row>
    <row r="40" spans="1:9" x14ac:dyDescent="0.35">
      <c r="A40" s="14">
        <v>4</v>
      </c>
      <c r="B40" s="14" t="s">
        <v>55</v>
      </c>
      <c r="C40" s="14" t="s">
        <v>102</v>
      </c>
      <c r="D40" s="14" t="s">
        <v>51</v>
      </c>
      <c r="E40" s="16">
        <f>Testdaten!$C$24</f>
        <v>46322.375</v>
      </c>
      <c r="F40" s="18"/>
      <c r="G40" s="18"/>
      <c r="H40" s="18"/>
      <c r="I40" s="18"/>
    </row>
    <row r="41" spans="1:9" x14ac:dyDescent="0.35">
      <c r="A41" s="14">
        <v>4</v>
      </c>
      <c r="B41" s="14" t="s">
        <v>55</v>
      </c>
      <c r="C41" s="14" t="s">
        <v>102</v>
      </c>
      <c r="D41" s="14" t="s">
        <v>119</v>
      </c>
      <c r="E41" s="24" t="s">
        <v>120</v>
      </c>
      <c r="F41" s="18"/>
      <c r="G41" s="18"/>
      <c r="H41" s="18"/>
      <c r="I41" s="18"/>
    </row>
    <row r="42" spans="1:9" x14ac:dyDescent="0.35">
      <c r="A42" s="14">
        <v>5</v>
      </c>
      <c r="B42" s="14" t="s">
        <v>57</v>
      </c>
      <c r="C42" s="14" t="s">
        <v>102</v>
      </c>
      <c r="D42" s="14" t="s">
        <v>118</v>
      </c>
      <c r="E42" s="24" t="s">
        <v>188</v>
      </c>
      <c r="F42" s="18"/>
      <c r="G42" s="18"/>
      <c r="H42" s="18"/>
      <c r="I42" s="18"/>
    </row>
    <row r="43" spans="1:9" x14ac:dyDescent="0.35">
      <c r="A43" s="14">
        <v>5</v>
      </c>
      <c r="B43" s="14" t="s">
        <v>57</v>
      </c>
      <c r="C43" s="14" t="s">
        <v>102</v>
      </c>
      <c r="D43" s="14" t="s">
        <v>32</v>
      </c>
      <c r="E43" s="24" t="str">
        <f>Testdaten!$B$12</f>
        <v>Vodafone / Vantage</v>
      </c>
      <c r="F43" s="18"/>
      <c r="G43" s="18"/>
      <c r="H43" s="18"/>
      <c r="I43" s="18"/>
    </row>
    <row r="44" spans="1:9" x14ac:dyDescent="0.35">
      <c r="A44" s="14">
        <v>5</v>
      </c>
      <c r="B44" s="14" t="s">
        <v>57</v>
      </c>
      <c r="C44" s="14" t="s">
        <v>102</v>
      </c>
      <c r="D44" s="14" t="s">
        <v>36</v>
      </c>
      <c r="E44" s="24" t="str">
        <f>Testdaten!$B$14</f>
        <v>Max Mustermann</v>
      </c>
      <c r="F44" s="18"/>
      <c r="G44" s="18"/>
      <c r="H44" s="18"/>
      <c r="I44" s="18"/>
    </row>
    <row r="45" spans="1:9" x14ac:dyDescent="0.35">
      <c r="A45" s="14">
        <v>5</v>
      </c>
      <c r="B45" s="14" t="s">
        <v>57</v>
      </c>
      <c r="C45" s="14" t="s">
        <v>102</v>
      </c>
      <c r="D45" s="14" t="s">
        <v>38</v>
      </c>
      <c r="E45" s="24" t="str">
        <f>Testdaten!$B$15</f>
        <v>+49 171 1234567</v>
      </c>
      <c r="F45" s="18"/>
      <c r="G45" s="18"/>
      <c r="H45" s="18"/>
      <c r="I45" s="18"/>
    </row>
    <row r="46" spans="1:9" x14ac:dyDescent="0.35">
      <c r="A46" s="14">
        <v>5</v>
      </c>
      <c r="B46" s="14" t="s">
        <v>57</v>
      </c>
      <c r="C46" s="14" t="s">
        <v>102</v>
      </c>
      <c r="D46" s="14" t="s">
        <v>40</v>
      </c>
      <c r="E46" s="24" t="str">
        <f>Testdaten!$B$16</f>
        <v>Erika Musterfrau</v>
      </c>
      <c r="F46" s="18"/>
      <c r="G46" s="18"/>
      <c r="H46" s="18"/>
      <c r="I46" s="18"/>
    </row>
    <row r="47" spans="1:9" x14ac:dyDescent="0.35">
      <c r="A47" s="14">
        <v>5</v>
      </c>
      <c r="B47" s="14" t="s">
        <v>57</v>
      </c>
      <c r="C47" s="14" t="s">
        <v>102</v>
      </c>
      <c r="D47" s="14" t="s">
        <v>42</v>
      </c>
      <c r="E47" s="24" t="str">
        <f>Testdaten!$B$17</f>
        <v>+49 160 7654321</v>
      </c>
      <c r="F47" s="18"/>
      <c r="G47" s="18"/>
      <c r="H47" s="18"/>
      <c r="I47" s="18"/>
    </row>
    <row r="48" spans="1:9" x14ac:dyDescent="0.35">
      <c r="A48" s="14">
        <v>5</v>
      </c>
      <c r="B48" s="14" t="s">
        <v>57</v>
      </c>
      <c r="C48" s="14" t="s">
        <v>102</v>
      </c>
      <c r="D48" s="14" t="s">
        <v>44</v>
      </c>
      <c r="E48" s="24" t="str">
        <f>Testdaten!$B$18</f>
        <v>ASI Abschaltung</v>
      </c>
      <c r="F48" s="18"/>
      <c r="G48" s="18"/>
      <c r="H48" s="18"/>
      <c r="I48" s="18"/>
    </row>
    <row r="49" spans="1:9" x14ac:dyDescent="0.35">
      <c r="A49" s="14">
        <v>5</v>
      </c>
      <c r="B49" s="14" t="s">
        <v>57</v>
      </c>
      <c r="C49" s="14" t="s">
        <v>102</v>
      </c>
      <c r="D49" s="14" t="s">
        <v>50</v>
      </c>
      <c r="E49" s="16">
        <f>Testdaten!$B$25</f>
        <v>46323.333333333336</v>
      </c>
      <c r="F49" s="18"/>
      <c r="G49" s="18"/>
      <c r="H49" s="18"/>
      <c r="I49" s="18"/>
    </row>
    <row r="50" spans="1:9" x14ac:dyDescent="0.35">
      <c r="A50" s="14">
        <v>5</v>
      </c>
      <c r="B50" s="14" t="s">
        <v>57</v>
      </c>
      <c r="C50" s="14" t="s">
        <v>102</v>
      </c>
      <c r="D50" s="14" t="s">
        <v>51</v>
      </c>
      <c r="E50" s="16">
        <f>Testdaten!$C$25</f>
        <v>46323.375</v>
      </c>
      <c r="F50" s="18"/>
      <c r="G50" s="18"/>
      <c r="H50" s="18"/>
      <c r="I50" s="18"/>
    </row>
    <row r="51" spans="1:9" x14ac:dyDescent="0.35">
      <c r="A51" s="14">
        <v>5</v>
      </c>
      <c r="B51" s="14" t="s">
        <v>57</v>
      </c>
      <c r="C51" s="14" t="s">
        <v>102</v>
      </c>
      <c r="D51" s="14" t="s">
        <v>119</v>
      </c>
      <c r="E51" s="24" t="s">
        <v>120</v>
      </c>
      <c r="F51" s="18"/>
      <c r="G51" s="18"/>
      <c r="H51" s="18"/>
      <c r="I51" s="18"/>
    </row>
    <row r="52" spans="1:9" x14ac:dyDescent="0.35">
      <c r="A52" s="14">
        <v>6</v>
      </c>
      <c r="B52" s="14" t="s">
        <v>57</v>
      </c>
      <c r="C52" s="14" t="s">
        <v>103</v>
      </c>
      <c r="D52" s="14" t="s">
        <v>118</v>
      </c>
      <c r="E52" s="24" t="s">
        <v>188</v>
      </c>
      <c r="F52" s="18"/>
      <c r="G52" s="18"/>
      <c r="H52" s="18"/>
      <c r="I52" s="18"/>
    </row>
    <row r="53" spans="1:9" x14ac:dyDescent="0.35">
      <c r="A53" s="14">
        <v>6</v>
      </c>
      <c r="B53" s="14" t="s">
        <v>57</v>
      </c>
      <c r="C53" s="14" t="s">
        <v>103</v>
      </c>
      <c r="D53" s="14" t="s">
        <v>32</v>
      </c>
      <c r="E53" s="24" t="str">
        <f>Testdaten!$B$12</f>
        <v>Vodafone / Vantage</v>
      </c>
      <c r="F53" s="18"/>
      <c r="G53" s="18"/>
      <c r="H53" s="18"/>
      <c r="I53" s="18"/>
    </row>
    <row r="54" spans="1:9" x14ac:dyDescent="0.35">
      <c r="A54" s="14">
        <v>6</v>
      </c>
      <c r="B54" s="14" t="s">
        <v>57</v>
      </c>
      <c r="C54" s="14" t="s">
        <v>103</v>
      </c>
      <c r="D54" s="14" t="s">
        <v>36</v>
      </c>
      <c r="E54" s="24" t="str">
        <f>Testdaten!$B$14</f>
        <v>Max Mustermann</v>
      </c>
      <c r="F54" s="18"/>
      <c r="G54" s="18"/>
      <c r="H54" s="18"/>
      <c r="I54" s="18"/>
    </row>
    <row r="55" spans="1:9" x14ac:dyDescent="0.35">
      <c r="A55" s="14">
        <v>6</v>
      </c>
      <c r="B55" s="14" t="s">
        <v>57</v>
      </c>
      <c r="C55" s="14" t="s">
        <v>103</v>
      </c>
      <c r="D55" s="14" t="s">
        <v>38</v>
      </c>
      <c r="E55" s="24" t="str">
        <f>Testdaten!$B$15</f>
        <v>+49 171 1234567</v>
      </c>
      <c r="F55" s="18"/>
      <c r="G55" s="18"/>
      <c r="H55" s="18"/>
      <c r="I55" s="18"/>
    </row>
    <row r="56" spans="1:9" x14ac:dyDescent="0.35">
      <c r="A56" s="14">
        <v>6</v>
      </c>
      <c r="B56" s="14" t="s">
        <v>57</v>
      </c>
      <c r="C56" s="14" t="s">
        <v>103</v>
      </c>
      <c r="D56" s="14" t="s">
        <v>40</v>
      </c>
      <c r="E56" s="24" t="str">
        <f>Testdaten!$B$16</f>
        <v>Erika Musterfrau</v>
      </c>
      <c r="F56" s="18"/>
      <c r="G56" s="18"/>
      <c r="H56" s="18"/>
      <c r="I56" s="18"/>
    </row>
    <row r="57" spans="1:9" x14ac:dyDescent="0.35">
      <c r="A57" s="14">
        <v>6</v>
      </c>
      <c r="B57" s="14" t="s">
        <v>57</v>
      </c>
      <c r="C57" s="14" t="s">
        <v>103</v>
      </c>
      <c r="D57" s="14" t="s">
        <v>42</v>
      </c>
      <c r="E57" s="24" t="str">
        <f>Testdaten!$B$17</f>
        <v>+49 160 7654321</v>
      </c>
      <c r="F57" s="18"/>
      <c r="G57" s="18"/>
      <c r="H57" s="18"/>
      <c r="I57" s="18"/>
    </row>
    <row r="58" spans="1:9" x14ac:dyDescent="0.35">
      <c r="A58" s="14">
        <v>6</v>
      </c>
      <c r="B58" s="14" t="s">
        <v>57</v>
      </c>
      <c r="C58" s="14" t="s">
        <v>103</v>
      </c>
      <c r="D58" s="14" t="s">
        <v>44</v>
      </c>
      <c r="E58" s="24" t="str">
        <f>Testdaten!$B$18</f>
        <v>ASI Abschaltung</v>
      </c>
      <c r="F58" s="18"/>
      <c r="G58" s="18"/>
      <c r="H58" s="18"/>
      <c r="I58" s="18"/>
    </row>
    <row r="59" spans="1:9" x14ac:dyDescent="0.35">
      <c r="A59" s="14">
        <v>6</v>
      </c>
      <c r="B59" s="14" t="s">
        <v>57</v>
      </c>
      <c r="C59" s="14" t="s">
        <v>103</v>
      </c>
      <c r="D59" s="14" t="s">
        <v>50</v>
      </c>
      <c r="E59" s="16">
        <f>Testdaten!$B$25</f>
        <v>46323.333333333336</v>
      </c>
      <c r="F59" s="18"/>
      <c r="G59" s="18"/>
      <c r="H59" s="18"/>
      <c r="I59" s="18"/>
    </row>
    <row r="60" spans="1:9" x14ac:dyDescent="0.35">
      <c r="A60" s="14">
        <v>6</v>
      </c>
      <c r="B60" s="14" t="s">
        <v>57</v>
      </c>
      <c r="C60" s="14" t="s">
        <v>103</v>
      </c>
      <c r="D60" s="14" t="s">
        <v>51</v>
      </c>
      <c r="E60" s="16">
        <f>Testdaten!$C$25</f>
        <v>46323.375</v>
      </c>
      <c r="F60" s="18"/>
      <c r="G60" s="18"/>
      <c r="H60" s="18"/>
      <c r="I60" s="18"/>
    </row>
    <row r="61" spans="1:9" x14ac:dyDescent="0.35">
      <c r="A61" s="14">
        <v>6</v>
      </c>
      <c r="B61" s="14" t="s">
        <v>57</v>
      </c>
      <c r="C61" s="14" t="s">
        <v>103</v>
      </c>
      <c r="D61" s="14" t="s">
        <v>119</v>
      </c>
      <c r="E61" s="24" t="s">
        <v>120</v>
      </c>
      <c r="F61" s="18"/>
      <c r="G61" s="18"/>
      <c r="H61" s="18"/>
      <c r="I61" s="18"/>
    </row>
    <row r="62" spans="1:9" x14ac:dyDescent="0.35">
      <c r="A62" s="14">
        <v>7</v>
      </c>
      <c r="B62" s="14" t="s">
        <v>104</v>
      </c>
      <c r="C62" s="14" t="s">
        <v>103</v>
      </c>
      <c r="D62" s="14" t="s">
        <v>118</v>
      </c>
      <c r="E62" s="24" t="str">
        <f>Testdaten!$B$4</f>
        <v>120990497</v>
      </c>
      <c r="F62" s="18"/>
      <c r="G62" s="18"/>
      <c r="H62" s="18"/>
      <c r="I62" s="18"/>
    </row>
    <row r="63" spans="1:9" x14ac:dyDescent="0.35">
      <c r="A63" s="14">
        <v>7</v>
      </c>
      <c r="B63" s="14" t="s">
        <v>104</v>
      </c>
      <c r="C63" s="14" t="s">
        <v>103</v>
      </c>
      <c r="D63" s="14" t="s">
        <v>32</v>
      </c>
      <c r="E63" s="24" t="str">
        <f>Testdaten!$B$12</f>
        <v>Vodafone / Vantage</v>
      </c>
      <c r="F63" s="18"/>
      <c r="G63" s="18"/>
      <c r="H63" s="18"/>
      <c r="I63" s="18"/>
    </row>
    <row r="64" spans="1:9" x14ac:dyDescent="0.35">
      <c r="A64" s="14">
        <v>7</v>
      </c>
      <c r="B64" s="14" t="s">
        <v>104</v>
      </c>
      <c r="C64" s="14" t="s">
        <v>103</v>
      </c>
      <c r="D64" s="14" t="s">
        <v>36</v>
      </c>
      <c r="E64" s="24" t="str">
        <f>Testdaten!$B$14</f>
        <v>Max Mustermann</v>
      </c>
      <c r="F64" s="18"/>
      <c r="G64" s="18"/>
      <c r="H64" s="18"/>
      <c r="I64" s="18"/>
    </row>
    <row r="65" spans="1:9" x14ac:dyDescent="0.35">
      <c r="A65" s="14">
        <v>7</v>
      </c>
      <c r="B65" s="14" t="s">
        <v>104</v>
      </c>
      <c r="C65" s="14" t="s">
        <v>103</v>
      </c>
      <c r="D65" s="14" t="s">
        <v>38</v>
      </c>
      <c r="E65" s="24" t="str">
        <f>Testdaten!$B$15</f>
        <v>+49 171 1234567</v>
      </c>
      <c r="F65" s="18"/>
      <c r="G65" s="18"/>
      <c r="H65" s="18"/>
      <c r="I65" s="18"/>
    </row>
    <row r="66" spans="1:9" x14ac:dyDescent="0.35">
      <c r="A66" s="14">
        <v>7</v>
      </c>
      <c r="B66" s="14" t="s">
        <v>104</v>
      </c>
      <c r="C66" s="14" t="s">
        <v>103</v>
      </c>
      <c r="D66" s="14" t="s">
        <v>40</v>
      </c>
      <c r="E66" s="24" t="str">
        <f>Testdaten!$B$16</f>
        <v>Erika Musterfrau</v>
      </c>
      <c r="F66" s="18"/>
      <c r="G66" s="18"/>
      <c r="H66" s="18"/>
      <c r="I66" s="18"/>
    </row>
    <row r="67" spans="1:9" x14ac:dyDescent="0.35">
      <c r="A67" s="14">
        <v>7</v>
      </c>
      <c r="B67" s="14" t="s">
        <v>104</v>
      </c>
      <c r="C67" s="14" t="s">
        <v>103</v>
      </c>
      <c r="D67" s="14" t="s">
        <v>42</v>
      </c>
      <c r="E67" s="24" t="str">
        <f>Testdaten!$B$17</f>
        <v>+49 160 7654321</v>
      </c>
      <c r="F67" s="18"/>
      <c r="G67" s="18"/>
      <c r="H67" s="18"/>
      <c r="I67" s="18"/>
    </row>
    <row r="68" spans="1:9" x14ac:dyDescent="0.35">
      <c r="A68" s="14">
        <v>7</v>
      </c>
      <c r="B68" s="14" t="s">
        <v>104</v>
      </c>
      <c r="C68" s="14" t="s">
        <v>103</v>
      </c>
      <c r="D68" s="14" t="s">
        <v>44</v>
      </c>
      <c r="E68" s="24" t="str">
        <f>Testdaten!$B$18</f>
        <v>ASI Abschaltung</v>
      </c>
      <c r="F68" s="18"/>
      <c r="G68" s="18"/>
      <c r="H68" s="18"/>
      <c r="I68" s="18"/>
    </row>
    <row r="69" spans="1:9" x14ac:dyDescent="0.35">
      <c r="A69" s="14">
        <v>7</v>
      </c>
      <c r="B69" s="14" t="s">
        <v>104</v>
      </c>
      <c r="C69" s="14" t="s">
        <v>103</v>
      </c>
      <c r="D69" s="14" t="s">
        <v>50</v>
      </c>
      <c r="E69" s="16">
        <f>Testdaten!$B$27</f>
        <v>46335.333333333336</v>
      </c>
      <c r="F69" s="18"/>
      <c r="G69" s="18"/>
      <c r="H69" s="18"/>
      <c r="I69" s="18"/>
    </row>
    <row r="70" spans="1:9" x14ac:dyDescent="0.35">
      <c r="A70" s="14">
        <v>7</v>
      </c>
      <c r="B70" s="14" t="s">
        <v>104</v>
      </c>
      <c r="C70" s="14" t="s">
        <v>103</v>
      </c>
      <c r="D70" s="14" t="s">
        <v>51</v>
      </c>
      <c r="E70" s="16">
        <f>Testdaten!$C$27</f>
        <v>46335.375</v>
      </c>
      <c r="F70" s="18"/>
      <c r="G70" s="18"/>
      <c r="H70" s="18"/>
      <c r="I70" s="18"/>
    </row>
    <row r="71" spans="1:9" x14ac:dyDescent="0.35">
      <c r="A71" s="14">
        <v>7</v>
      </c>
      <c r="B71" s="14" t="s">
        <v>104</v>
      </c>
      <c r="C71" s="14" t="s">
        <v>103</v>
      </c>
      <c r="D71" s="14" t="s">
        <v>119</v>
      </c>
      <c r="E71" s="24" t="s">
        <v>120</v>
      </c>
      <c r="F71" s="18"/>
      <c r="G71" s="18"/>
      <c r="H71" s="18"/>
      <c r="I71" s="18"/>
    </row>
    <row r="72" spans="1:9" x14ac:dyDescent="0.35">
      <c r="A72" s="14">
        <v>8</v>
      </c>
      <c r="B72" s="14" t="s">
        <v>104</v>
      </c>
      <c r="C72" s="14" t="s">
        <v>102</v>
      </c>
      <c r="D72" s="14" t="s">
        <v>118</v>
      </c>
      <c r="E72" s="24" t="str">
        <f>Testdaten!$B$4</f>
        <v>120990497</v>
      </c>
      <c r="F72" s="18"/>
      <c r="G72" s="18"/>
      <c r="H72" s="18"/>
      <c r="I72" s="18"/>
    </row>
    <row r="73" spans="1:9" x14ac:dyDescent="0.35">
      <c r="A73" s="14">
        <v>8</v>
      </c>
      <c r="B73" s="14" t="s">
        <v>104</v>
      </c>
      <c r="C73" s="14" t="s">
        <v>102</v>
      </c>
      <c r="D73" s="14" t="s">
        <v>32</v>
      </c>
      <c r="E73" s="24" t="str">
        <f>Testdaten!$B$12</f>
        <v>Vodafone / Vantage</v>
      </c>
      <c r="F73" s="18"/>
      <c r="G73" s="18"/>
      <c r="H73" s="18"/>
      <c r="I73" s="18"/>
    </row>
    <row r="74" spans="1:9" x14ac:dyDescent="0.35">
      <c r="A74" s="14">
        <v>8</v>
      </c>
      <c r="B74" s="14" t="s">
        <v>104</v>
      </c>
      <c r="C74" s="14" t="s">
        <v>102</v>
      </c>
      <c r="D74" s="14" t="s">
        <v>36</v>
      </c>
      <c r="E74" s="24" t="str">
        <f>Testdaten!$B$14</f>
        <v>Max Mustermann</v>
      </c>
      <c r="F74" s="18"/>
      <c r="G74" s="18"/>
      <c r="H74" s="18"/>
      <c r="I74" s="18"/>
    </row>
    <row r="75" spans="1:9" x14ac:dyDescent="0.35">
      <c r="A75" s="14">
        <v>8</v>
      </c>
      <c r="B75" s="14" t="s">
        <v>104</v>
      </c>
      <c r="C75" s="14" t="s">
        <v>102</v>
      </c>
      <c r="D75" s="14" t="s">
        <v>38</v>
      </c>
      <c r="E75" s="24" t="str">
        <f>Testdaten!$B$15</f>
        <v>+49 171 1234567</v>
      </c>
      <c r="F75" s="18"/>
      <c r="G75" s="18"/>
      <c r="H75" s="18"/>
      <c r="I75" s="18"/>
    </row>
    <row r="76" spans="1:9" x14ac:dyDescent="0.35">
      <c r="A76" s="14">
        <v>8</v>
      </c>
      <c r="B76" s="14" t="s">
        <v>104</v>
      </c>
      <c r="C76" s="14" t="s">
        <v>102</v>
      </c>
      <c r="D76" s="14" t="s">
        <v>40</v>
      </c>
      <c r="E76" s="24" t="str">
        <f>Testdaten!$B$16</f>
        <v>Erika Musterfrau</v>
      </c>
      <c r="F76" s="18"/>
      <c r="G76" s="18"/>
      <c r="H76" s="18"/>
      <c r="I76" s="18"/>
    </row>
    <row r="77" spans="1:9" x14ac:dyDescent="0.35">
      <c r="A77" s="14">
        <v>8</v>
      </c>
      <c r="B77" s="14" t="s">
        <v>104</v>
      </c>
      <c r="C77" s="14" t="s">
        <v>102</v>
      </c>
      <c r="D77" s="14" t="s">
        <v>42</v>
      </c>
      <c r="E77" s="24" t="str">
        <f>Testdaten!$B$17</f>
        <v>+49 160 7654321</v>
      </c>
      <c r="F77" s="18"/>
      <c r="G77" s="18"/>
      <c r="H77" s="18"/>
      <c r="I77" s="18"/>
    </row>
    <row r="78" spans="1:9" x14ac:dyDescent="0.35">
      <c r="A78" s="14">
        <v>8</v>
      </c>
      <c r="B78" s="14" t="s">
        <v>104</v>
      </c>
      <c r="C78" s="14" t="s">
        <v>102</v>
      </c>
      <c r="D78" s="14" t="s">
        <v>44</v>
      </c>
      <c r="E78" s="24" t="str">
        <f>Testdaten!$B$18</f>
        <v>ASI Abschaltung</v>
      </c>
      <c r="F78" s="18"/>
      <c r="G78" s="18"/>
      <c r="H78" s="18"/>
      <c r="I78" s="18"/>
    </row>
    <row r="79" spans="1:9" x14ac:dyDescent="0.35">
      <c r="A79" s="14">
        <v>8</v>
      </c>
      <c r="B79" s="14" t="s">
        <v>104</v>
      </c>
      <c r="C79" s="14" t="s">
        <v>102</v>
      </c>
      <c r="D79" s="14" t="s">
        <v>50</v>
      </c>
      <c r="E79" s="16">
        <f>Testdaten!$B$27</f>
        <v>46335.333333333336</v>
      </c>
      <c r="F79" s="18"/>
      <c r="G79" s="18"/>
      <c r="H79" s="18"/>
      <c r="I79" s="18"/>
    </row>
    <row r="80" spans="1:9" x14ac:dyDescent="0.35">
      <c r="A80" s="14">
        <v>8</v>
      </c>
      <c r="B80" s="14" t="s">
        <v>104</v>
      </c>
      <c r="C80" s="14" t="s">
        <v>102</v>
      </c>
      <c r="D80" s="14" t="s">
        <v>51</v>
      </c>
      <c r="E80" s="16">
        <f>Testdaten!$C$27</f>
        <v>46335.375</v>
      </c>
      <c r="F80" s="18"/>
      <c r="G80" s="18"/>
      <c r="H80" s="18"/>
      <c r="I80" s="18"/>
    </row>
    <row r="81" spans="1:9" x14ac:dyDescent="0.35">
      <c r="A81" s="14">
        <v>8</v>
      </c>
      <c r="B81" s="14" t="s">
        <v>104</v>
      </c>
      <c r="C81" s="14" t="s">
        <v>102</v>
      </c>
      <c r="D81" s="14" t="s">
        <v>119</v>
      </c>
      <c r="E81" s="24" t="s">
        <v>120</v>
      </c>
      <c r="F81" s="18"/>
      <c r="G81" s="18"/>
      <c r="H81" s="18"/>
      <c r="I81" s="18"/>
    </row>
    <row r="82" spans="1:9" x14ac:dyDescent="0.35">
      <c r="A82" s="14">
        <v>9</v>
      </c>
      <c r="B82" s="14" t="s">
        <v>105</v>
      </c>
      <c r="C82" s="14" t="s">
        <v>102</v>
      </c>
      <c r="D82" s="14" t="s">
        <v>118</v>
      </c>
      <c r="E82" s="24" t="str">
        <f>Testdaten!$B$4</f>
        <v>120990497</v>
      </c>
      <c r="F82" s="18"/>
      <c r="G82" s="18"/>
      <c r="H82" s="18"/>
      <c r="I82" s="18"/>
    </row>
    <row r="83" spans="1:9" x14ac:dyDescent="0.35">
      <c r="A83" s="14">
        <v>9</v>
      </c>
      <c r="B83" s="14" t="s">
        <v>105</v>
      </c>
      <c r="C83" s="14" t="s">
        <v>102</v>
      </c>
      <c r="D83" s="14" t="s">
        <v>32</v>
      </c>
      <c r="E83" s="24" t="str">
        <f>Testdaten!$B$12</f>
        <v>Vodafone / Vantage</v>
      </c>
      <c r="F83" s="18"/>
      <c r="G83" s="18"/>
      <c r="H83" s="18"/>
      <c r="I83" s="18"/>
    </row>
    <row r="84" spans="1:9" x14ac:dyDescent="0.35">
      <c r="A84" s="14">
        <v>9</v>
      </c>
      <c r="B84" s="14" t="s">
        <v>105</v>
      </c>
      <c r="C84" s="14" t="s">
        <v>102</v>
      </c>
      <c r="D84" s="14" t="s">
        <v>36</v>
      </c>
      <c r="E84" s="24" t="str">
        <f>Testdaten!$B$14</f>
        <v>Max Mustermann</v>
      </c>
      <c r="F84" s="18"/>
      <c r="G84" s="18"/>
      <c r="H84" s="18"/>
      <c r="I84" s="18"/>
    </row>
    <row r="85" spans="1:9" x14ac:dyDescent="0.35">
      <c r="A85" s="14">
        <v>9</v>
      </c>
      <c r="B85" s="14" t="s">
        <v>105</v>
      </c>
      <c r="C85" s="14" t="s">
        <v>102</v>
      </c>
      <c r="D85" s="14" t="s">
        <v>38</v>
      </c>
      <c r="E85" s="24" t="str">
        <f>Testdaten!$B$15</f>
        <v>+49 171 1234567</v>
      </c>
      <c r="F85" s="18"/>
      <c r="G85" s="18"/>
      <c r="H85" s="18"/>
      <c r="I85" s="18"/>
    </row>
    <row r="86" spans="1:9" x14ac:dyDescent="0.35">
      <c r="A86" s="14">
        <v>9</v>
      </c>
      <c r="B86" s="14" t="s">
        <v>105</v>
      </c>
      <c r="C86" s="14" t="s">
        <v>102</v>
      </c>
      <c r="D86" s="14" t="s">
        <v>40</v>
      </c>
      <c r="E86" s="24" t="str">
        <f>Testdaten!$B$16</f>
        <v>Erika Musterfrau</v>
      </c>
      <c r="F86" s="18"/>
      <c r="G86" s="18"/>
      <c r="H86" s="18"/>
      <c r="I86" s="18"/>
    </row>
    <row r="87" spans="1:9" x14ac:dyDescent="0.35">
      <c r="A87" s="14">
        <v>9</v>
      </c>
      <c r="B87" s="14" t="s">
        <v>105</v>
      </c>
      <c r="C87" s="14" t="s">
        <v>102</v>
      </c>
      <c r="D87" s="14" t="s">
        <v>42</v>
      </c>
      <c r="E87" s="24" t="str">
        <f>Testdaten!$B$17</f>
        <v>+49 160 7654321</v>
      </c>
      <c r="F87" s="18"/>
      <c r="G87" s="18"/>
      <c r="H87" s="18"/>
      <c r="I87" s="18"/>
    </row>
    <row r="88" spans="1:9" x14ac:dyDescent="0.35">
      <c r="A88" s="14">
        <v>9</v>
      </c>
      <c r="B88" s="14" t="s">
        <v>105</v>
      </c>
      <c r="C88" s="14" t="s">
        <v>102</v>
      </c>
      <c r="D88" s="14" t="s">
        <v>44</v>
      </c>
      <c r="E88" s="24" t="str">
        <f>Testdaten!$B$18</f>
        <v>ASI Abschaltung</v>
      </c>
      <c r="F88" s="18"/>
      <c r="G88" s="18"/>
      <c r="H88" s="18"/>
      <c r="I88" s="18"/>
    </row>
    <row r="89" spans="1:9" x14ac:dyDescent="0.35">
      <c r="A89" s="14">
        <v>9</v>
      </c>
      <c r="B89" s="14" t="s">
        <v>105</v>
      </c>
      <c r="C89" s="14" t="s">
        <v>102</v>
      </c>
      <c r="D89" s="14" t="s">
        <v>50</v>
      </c>
      <c r="E89" s="16">
        <f>Testdaten!$B$29</f>
        <v>46343.333333333336</v>
      </c>
      <c r="F89" s="18"/>
      <c r="G89" s="18"/>
      <c r="H89" s="18"/>
      <c r="I89" s="18"/>
    </row>
    <row r="90" spans="1:9" x14ac:dyDescent="0.35">
      <c r="A90" s="14">
        <v>9</v>
      </c>
      <c r="B90" s="14" t="s">
        <v>105</v>
      </c>
      <c r="C90" s="14" t="s">
        <v>102</v>
      </c>
      <c r="D90" s="14" t="s">
        <v>51</v>
      </c>
      <c r="E90" s="16">
        <f>Testdaten!$C$29</f>
        <v>46345.375</v>
      </c>
      <c r="F90" s="18"/>
      <c r="G90" s="18"/>
      <c r="H90" s="18"/>
      <c r="I90" s="18"/>
    </row>
    <row r="91" spans="1:9" x14ac:dyDescent="0.35">
      <c r="A91" s="14">
        <v>9</v>
      </c>
      <c r="B91" s="14" t="s">
        <v>105</v>
      </c>
      <c r="C91" s="14" t="s">
        <v>102</v>
      </c>
      <c r="D91" s="14" t="s">
        <v>119</v>
      </c>
      <c r="E91" s="24" t="s">
        <v>120</v>
      </c>
      <c r="F91" s="18"/>
      <c r="G91" s="18"/>
      <c r="H91" s="18"/>
      <c r="I91" s="18"/>
    </row>
    <row r="92" spans="1:9" x14ac:dyDescent="0.35">
      <c r="A92" s="14">
        <v>10</v>
      </c>
      <c r="B92" s="14" t="s">
        <v>105</v>
      </c>
      <c r="C92" s="14" t="s">
        <v>103</v>
      </c>
      <c r="D92" s="14" t="s">
        <v>118</v>
      </c>
      <c r="E92" s="24" t="str">
        <f>Testdaten!$B$4</f>
        <v>120990497</v>
      </c>
      <c r="F92" s="18"/>
      <c r="G92" s="18"/>
      <c r="H92" s="18"/>
      <c r="I92" s="18"/>
    </row>
    <row r="93" spans="1:9" x14ac:dyDescent="0.35">
      <c r="A93" s="14">
        <v>10</v>
      </c>
      <c r="B93" s="14" t="s">
        <v>105</v>
      </c>
      <c r="C93" s="14" t="s">
        <v>103</v>
      </c>
      <c r="D93" s="14" t="s">
        <v>32</v>
      </c>
      <c r="E93" s="24" t="str">
        <f>Testdaten!$B$12</f>
        <v>Vodafone / Vantage</v>
      </c>
      <c r="F93" s="18"/>
      <c r="G93" s="18"/>
      <c r="H93" s="18"/>
      <c r="I93" s="18"/>
    </row>
    <row r="94" spans="1:9" x14ac:dyDescent="0.35">
      <c r="A94" s="14">
        <v>10</v>
      </c>
      <c r="B94" s="14" t="s">
        <v>105</v>
      </c>
      <c r="C94" s="14" t="s">
        <v>103</v>
      </c>
      <c r="D94" s="14" t="s">
        <v>36</v>
      </c>
      <c r="E94" s="24" t="str">
        <f>Testdaten!$B$14</f>
        <v>Max Mustermann</v>
      </c>
      <c r="F94" s="18"/>
      <c r="G94" s="18"/>
      <c r="H94" s="18"/>
      <c r="I94" s="18"/>
    </row>
    <row r="95" spans="1:9" x14ac:dyDescent="0.35">
      <c r="A95" s="14">
        <v>10</v>
      </c>
      <c r="B95" s="14" t="s">
        <v>105</v>
      </c>
      <c r="C95" s="14" t="s">
        <v>103</v>
      </c>
      <c r="D95" s="14" t="s">
        <v>38</v>
      </c>
      <c r="E95" s="24" t="str">
        <f>Testdaten!$B$15</f>
        <v>+49 171 1234567</v>
      </c>
      <c r="F95" s="18"/>
      <c r="G95" s="18"/>
      <c r="H95" s="18"/>
      <c r="I95" s="18"/>
    </row>
    <row r="96" spans="1:9" x14ac:dyDescent="0.35">
      <c r="A96" s="14">
        <v>10</v>
      </c>
      <c r="B96" s="14" t="s">
        <v>105</v>
      </c>
      <c r="C96" s="14" t="s">
        <v>103</v>
      </c>
      <c r="D96" s="14" t="s">
        <v>40</v>
      </c>
      <c r="E96" s="24" t="str">
        <f>Testdaten!$B$16</f>
        <v>Erika Musterfrau</v>
      </c>
      <c r="F96" s="18"/>
      <c r="G96" s="18"/>
      <c r="H96" s="18"/>
      <c r="I96" s="18"/>
    </row>
    <row r="97" spans="1:9" x14ac:dyDescent="0.35">
      <c r="A97" s="14">
        <v>10</v>
      </c>
      <c r="B97" s="14" t="s">
        <v>105</v>
      </c>
      <c r="C97" s="14" t="s">
        <v>103</v>
      </c>
      <c r="D97" s="14" t="s">
        <v>42</v>
      </c>
      <c r="E97" s="24" t="str">
        <f>Testdaten!$B$17</f>
        <v>+49 160 7654321</v>
      </c>
      <c r="F97" s="18"/>
      <c r="G97" s="18"/>
      <c r="H97" s="18"/>
      <c r="I97" s="18"/>
    </row>
    <row r="98" spans="1:9" x14ac:dyDescent="0.35">
      <c r="A98" s="14">
        <v>10</v>
      </c>
      <c r="B98" s="14" t="s">
        <v>105</v>
      </c>
      <c r="C98" s="14" t="s">
        <v>103</v>
      </c>
      <c r="D98" s="14" t="s">
        <v>44</v>
      </c>
      <c r="E98" s="24" t="str">
        <f>Testdaten!$B$18</f>
        <v>ASI Abschaltung</v>
      </c>
      <c r="F98" s="18"/>
      <c r="G98" s="18"/>
      <c r="H98" s="18"/>
      <c r="I98" s="18"/>
    </row>
    <row r="99" spans="1:9" x14ac:dyDescent="0.35">
      <c r="A99" s="14">
        <v>10</v>
      </c>
      <c r="B99" s="14" t="s">
        <v>105</v>
      </c>
      <c r="C99" s="14" t="s">
        <v>103</v>
      </c>
      <c r="D99" s="14" t="s">
        <v>50</v>
      </c>
      <c r="E99" s="16">
        <f>Testdaten!$B$29</f>
        <v>46343.333333333336</v>
      </c>
      <c r="F99" s="18"/>
      <c r="G99" s="18"/>
      <c r="H99" s="18"/>
      <c r="I99" s="18"/>
    </row>
    <row r="100" spans="1:9" x14ac:dyDescent="0.35">
      <c r="A100" s="14">
        <v>10</v>
      </c>
      <c r="B100" s="14" t="s">
        <v>105</v>
      </c>
      <c r="C100" s="14" t="s">
        <v>103</v>
      </c>
      <c r="D100" s="14" t="s">
        <v>51</v>
      </c>
      <c r="E100" s="16">
        <f>Testdaten!$C$29</f>
        <v>46345.375</v>
      </c>
      <c r="F100" s="18"/>
      <c r="G100" s="18"/>
      <c r="H100" s="18"/>
      <c r="I100" s="18"/>
    </row>
    <row r="101" spans="1:9" x14ac:dyDescent="0.35">
      <c r="A101" s="14">
        <v>10</v>
      </c>
      <c r="B101" s="14" t="s">
        <v>105</v>
      </c>
      <c r="C101" s="14" t="s">
        <v>103</v>
      </c>
      <c r="D101" s="14" t="s">
        <v>119</v>
      </c>
      <c r="E101" s="24" t="s">
        <v>120</v>
      </c>
      <c r="F101" s="18"/>
      <c r="G101" s="18"/>
      <c r="H101" s="18"/>
      <c r="I101" s="18"/>
    </row>
    <row r="102" spans="1:9" x14ac:dyDescent="0.35">
      <c r="A102" s="14">
        <v>11</v>
      </c>
      <c r="B102" s="14" t="s">
        <v>67</v>
      </c>
      <c r="C102" s="14" t="s">
        <v>103</v>
      </c>
      <c r="D102" s="14" t="s">
        <v>118</v>
      </c>
      <c r="E102" s="24">
        <f>Testdaten!$B$7</f>
        <v>120990686</v>
      </c>
      <c r="F102" s="18"/>
      <c r="G102" s="18"/>
      <c r="H102" s="18"/>
      <c r="I102" s="18"/>
    </row>
    <row r="103" spans="1:9" x14ac:dyDescent="0.35">
      <c r="A103" s="14">
        <v>11</v>
      </c>
      <c r="B103" s="14" t="s">
        <v>67</v>
      </c>
      <c r="C103" s="14" t="s">
        <v>103</v>
      </c>
      <c r="D103" s="14" t="s">
        <v>32</v>
      </c>
      <c r="E103" s="24" t="str">
        <f>Testdaten!$B$12</f>
        <v>Vodafone / Vantage</v>
      </c>
      <c r="F103" s="18"/>
      <c r="G103" s="18"/>
      <c r="H103" s="18"/>
      <c r="I103" s="18"/>
    </row>
    <row r="104" spans="1:9" x14ac:dyDescent="0.35">
      <c r="A104" s="14">
        <v>11</v>
      </c>
      <c r="B104" s="14" t="s">
        <v>67</v>
      </c>
      <c r="C104" s="14" t="s">
        <v>103</v>
      </c>
      <c r="D104" s="14" t="s">
        <v>36</v>
      </c>
      <c r="E104" s="24" t="str">
        <f>Testdaten!$B$14</f>
        <v>Max Mustermann</v>
      </c>
      <c r="F104" s="18"/>
      <c r="G104" s="18"/>
      <c r="H104" s="18"/>
      <c r="I104" s="18"/>
    </row>
    <row r="105" spans="1:9" x14ac:dyDescent="0.35">
      <c r="A105" s="14">
        <v>11</v>
      </c>
      <c r="B105" s="14" t="s">
        <v>67</v>
      </c>
      <c r="C105" s="14" t="s">
        <v>103</v>
      </c>
      <c r="D105" s="14" t="s">
        <v>38</v>
      </c>
      <c r="E105" s="24" t="str">
        <f>Testdaten!$B$15</f>
        <v>+49 171 1234567</v>
      </c>
      <c r="F105" s="18"/>
      <c r="G105" s="18"/>
      <c r="H105" s="18"/>
      <c r="I105" s="18"/>
    </row>
    <row r="106" spans="1:9" x14ac:dyDescent="0.35">
      <c r="A106" s="14">
        <v>11</v>
      </c>
      <c r="B106" s="14" t="s">
        <v>67</v>
      </c>
      <c r="C106" s="14" t="s">
        <v>103</v>
      </c>
      <c r="D106" s="14" t="s">
        <v>40</v>
      </c>
      <c r="E106" s="24" t="str">
        <f>Testdaten!$B$16</f>
        <v>Erika Musterfrau</v>
      </c>
      <c r="F106" s="18"/>
      <c r="G106" s="18"/>
      <c r="H106" s="18"/>
      <c r="I106" s="18"/>
    </row>
    <row r="107" spans="1:9" x14ac:dyDescent="0.35">
      <c r="A107" s="14">
        <v>11</v>
      </c>
      <c r="B107" s="14" t="s">
        <v>67</v>
      </c>
      <c r="C107" s="14" t="s">
        <v>103</v>
      </c>
      <c r="D107" s="14" t="s">
        <v>42</v>
      </c>
      <c r="E107" s="24" t="str">
        <f>Testdaten!$B$17</f>
        <v>+49 160 7654321</v>
      </c>
      <c r="F107" s="18"/>
      <c r="G107" s="18"/>
      <c r="H107" s="18"/>
      <c r="I107" s="18"/>
    </row>
    <row r="108" spans="1:9" x14ac:dyDescent="0.35">
      <c r="A108" s="14">
        <v>11</v>
      </c>
      <c r="B108" s="14" t="s">
        <v>67</v>
      </c>
      <c r="C108" s="14" t="s">
        <v>103</v>
      </c>
      <c r="D108" s="14" t="s">
        <v>44</v>
      </c>
      <c r="E108" s="24" t="str">
        <f>Testdaten!$B$18</f>
        <v>ASI Abschaltung</v>
      </c>
      <c r="F108" s="18"/>
      <c r="G108" s="18"/>
      <c r="H108" s="18"/>
      <c r="I108" s="18"/>
    </row>
    <row r="109" spans="1:9" x14ac:dyDescent="0.35">
      <c r="A109" s="14">
        <v>11</v>
      </c>
      <c r="B109" s="14" t="s">
        <v>67</v>
      </c>
      <c r="C109" s="14" t="s">
        <v>103</v>
      </c>
      <c r="D109" s="14" t="s">
        <v>50</v>
      </c>
      <c r="E109" s="16">
        <f>Testdaten!$B$30</f>
        <v>46335.333333333336</v>
      </c>
      <c r="F109" s="18"/>
      <c r="G109" s="18"/>
      <c r="H109" s="18"/>
      <c r="I109" s="18"/>
    </row>
    <row r="110" spans="1:9" x14ac:dyDescent="0.35">
      <c r="A110" s="14">
        <v>11</v>
      </c>
      <c r="B110" s="14" t="s">
        <v>67</v>
      </c>
      <c r="C110" s="14" t="s">
        <v>103</v>
      </c>
      <c r="D110" s="14" t="s">
        <v>51</v>
      </c>
      <c r="E110" s="16">
        <f>Testdaten!$C$30</f>
        <v>46344.708333333336</v>
      </c>
      <c r="F110" s="18"/>
      <c r="G110" s="18"/>
      <c r="H110" s="18"/>
      <c r="I110" s="18"/>
    </row>
    <row r="111" spans="1:9" x14ac:dyDescent="0.35">
      <c r="A111" s="14">
        <v>11</v>
      </c>
      <c r="B111" s="14" t="s">
        <v>67</v>
      </c>
      <c r="C111" s="14" t="s">
        <v>103</v>
      </c>
      <c r="D111" s="14" t="s">
        <v>119</v>
      </c>
      <c r="E111" s="24" t="str">
        <f>Testdaten!$B$32</f>
        <v>Austausch der gesamten Antennenanlage, Kran nur in diesem Zeitraum verfügbar</v>
      </c>
      <c r="F111" s="18"/>
      <c r="G111" s="18"/>
      <c r="H111" s="18"/>
      <c r="I111" s="18"/>
    </row>
    <row r="112" spans="1:9" x14ac:dyDescent="0.35">
      <c r="A112" s="14">
        <v>12</v>
      </c>
      <c r="B112" s="14" t="s">
        <v>67</v>
      </c>
      <c r="C112" s="14" t="s">
        <v>102</v>
      </c>
      <c r="D112" s="14" t="s">
        <v>118</v>
      </c>
      <c r="E112" s="24">
        <f>Testdaten!$B$7</f>
        <v>120990686</v>
      </c>
      <c r="F112" s="18"/>
      <c r="G112" s="18"/>
      <c r="H112" s="18"/>
      <c r="I112" s="18"/>
    </row>
    <row r="113" spans="1:9" x14ac:dyDescent="0.35">
      <c r="A113" s="14">
        <v>12</v>
      </c>
      <c r="B113" s="14" t="s">
        <v>67</v>
      </c>
      <c r="C113" s="14" t="s">
        <v>102</v>
      </c>
      <c r="D113" s="14" t="s">
        <v>32</v>
      </c>
      <c r="E113" s="24" t="str">
        <f>Testdaten!$B$12</f>
        <v>Vodafone / Vantage</v>
      </c>
      <c r="F113" s="18"/>
      <c r="G113" s="18"/>
      <c r="H113" s="18"/>
      <c r="I113" s="18"/>
    </row>
    <row r="114" spans="1:9" x14ac:dyDescent="0.35">
      <c r="A114" s="14">
        <v>12</v>
      </c>
      <c r="B114" s="14" t="s">
        <v>67</v>
      </c>
      <c r="C114" s="14" t="s">
        <v>102</v>
      </c>
      <c r="D114" s="14" t="s">
        <v>36</v>
      </c>
      <c r="E114" s="24" t="str">
        <f>Testdaten!$B$14</f>
        <v>Max Mustermann</v>
      </c>
      <c r="F114" s="18"/>
      <c r="G114" s="18"/>
      <c r="H114" s="18"/>
      <c r="I114" s="18"/>
    </row>
    <row r="115" spans="1:9" x14ac:dyDescent="0.35">
      <c r="A115" s="14">
        <v>12</v>
      </c>
      <c r="B115" s="14" t="s">
        <v>67</v>
      </c>
      <c r="C115" s="14" t="s">
        <v>102</v>
      </c>
      <c r="D115" s="14" t="s">
        <v>38</v>
      </c>
      <c r="E115" s="24" t="str">
        <f>Testdaten!$B$15</f>
        <v>+49 171 1234567</v>
      </c>
      <c r="F115" s="18"/>
      <c r="G115" s="18"/>
      <c r="H115" s="18"/>
      <c r="I115" s="18"/>
    </row>
    <row r="116" spans="1:9" x14ac:dyDescent="0.35">
      <c r="A116" s="14">
        <v>12</v>
      </c>
      <c r="B116" s="14" t="s">
        <v>67</v>
      </c>
      <c r="C116" s="14" t="s">
        <v>102</v>
      </c>
      <c r="D116" s="14" t="s">
        <v>40</v>
      </c>
      <c r="E116" s="24" t="str">
        <f>Testdaten!$B$16</f>
        <v>Erika Musterfrau</v>
      </c>
      <c r="F116" s="18"/>
      <c r="G116" s="18"/>
      <c r="H116" s="18"/>
      <c r="I116" s="18"/>
    </row>
    <row r="117" spans="1:9" x14ac:dyDescent="0.35">
      <c r="A117" s="14">
        <v>12</v>
      </c>
      <c r="B117" s="14" t="s">
        <v>67</v>
      </c>
      <c r="C117" s="14" t="s">
        <v>102</v>
      </c>
      <c r="D117" s="14" t="s">
        <v>42</v>
      </c>
      <c r="E117" s="24" t="str">
        <f>Testdaten!$B$17</f>
        <v>+49 160 7654321</v>
      </c>
      <c r="F117" s="18"/>
      <c r="G117" s="18"/>
      <c r="H117" s="18"/>
      <c r="I117" s="18"/>
    </row>
    <row r="118" spans="1:9" x14ac:dyDescent="0.35">
      <c r="A118" s="14">
        <v>12</v>
      </c>
      <c r="B118" s="14" t="s">
        <v>67</v>
      </c>
      <c r="C118" s="14" t="s">
        <v>102</v>
      </c>
      <c r="D118" s="14" t="s">
        <v>44</v>
      </c>
      <c r="E118" s="24" t="str">
        <f>Testdaten!$B$18</f>
        <v>ASI Abschaltung</v>
      </c>
      <c r="F118" s="18"/>
      <c r="G118" s="18"/>
      <c r="H118" s="18"/>
      <c r="I118" s="18"/>
    </row>
    <row r="119" spans="1:9" x14ac:dyDescent="0.35">
      <c r="A119" s="14">
        <v>12</v>
      </c>
      <c r="B119" s="14" t="s">
        <v>67</v>
      </c>
      <c r="C119" s="14" t="s">
        <v>102</v>
      </c>
      <c r="D119" s="14" t="s">
        <v>50</v>
      </c>
      <c r="E119" s="16">
        <f>Testdaten!$B$30</f>
        <v>46335.333333333336</v>
      </c>
      <c r="F119" s="18"/>
      <c r="G119" s="18"/>
      <c r="H119" s="18"/>
      <c r="I119" s="18"/>
    </row>
    <row r="120" spans="1:9" x14ac:dyDescent="0.35">
      <c r="A120" s="14">
        <v>12</v>
      </c>
      <c r="B120" s="14" t="s">
        <v>67</v>
      </c>
      <c r="C120" s="14" t="s">
        <v>102</v>
      </c>
      <c r="D120" s="14" t="s">
        <v>51</v>
      </c>
      <c r="E120" s="16">
        <f>Testdaten!$C$30</f>
        <v>46344.708333333336</v>
      </c>
      <c r="F120" s="18"/>
      <c r="G120" s="18"/>
      <c r="H120" s="18"/>
      <c r="I120" s="18"/>
    </row>
    <row r="121" spans="1:9" x14ac:dyDescent="0.35">
      <c r="A121" s="14">
        <v>12</v>
      </c>
      <c r="B121" s="14" t="s">
        <v>67</v>
      </c>
      <c r="C121" s="14" t="s">
        <v>102</v>
      </c>
      <c r="D121" s="14" t="s">
        <v>119</v>
      </c>
      <c r="E121" s="24" t="str">
        <f>Testdaten!$B$32</f>
        <v>Austausch der gesamten Antennenanlage, Kran nur in diesem Zeitraum verfügbar</v>
      </c>
      <c r="F121" s="18"/>
      <c r="G121" s="18"/>
      <c r="H121" s="18"/>
      <c r="I121" s="18"/>
    </row>
    <row r="122" spans="1:9" x14ac:dyDescent="0.35">
      <c r="A122" s="14">
        <v>13</v>
      </c>
      <c r="B122" s="14" t="s">
        <v>53</v>
      </c>
      <c r="C122" s="14" t="s">
        <v>103</v>
      </c>
      <c r="D122" s="14" t="s">
        <v>118</v>
      </c>
      <c r="E122" s="24" t="str">
        <f>Testdaten!$B$4</f>
        <v>120990497</v>
      </c>
      <c r="F122" s="18"/>
      <c r="G122" s="18"/>
      <c r="H122" s="18"/>
      <c r="I122" s="18"/>
    </row>
    <row r="123" spans="1:9" x14ac:dyDescent="0.35">
      <c r="A123" s="14">
        <v>13</v>
      </c>
      <c r="B123" s="14" t="s">
        <v>53</v>
      </c>
      <c r="C123" s="14" t="s">
        <v>103</v>
      </c>
      <c r="D123" s="14" t="s">
        <v>32</v>
      </c>
      <c r="E123" s="24" t="str">
        <f>Testdaten!$B$12</f>
        <v>Vodafone / Vantage</v>
      </c>
      <c r="F123" s="18"/>
      <c r="G123" s="18"/>
      <c r="H123" s="18"/>
      <c r="I123" s="18"/>
    </row>
    <row r="124" spans="1:9" x14ac:dyDescent="0.35">
      <c r="A124" s="14">
        <v>13</v>
      </c>
      <c r="B124" s="14" t="s">
        <v>53</v>
      </c>
      <c r="C124" s="14" t="s">
        <v>103</v>
      </c>
      <c r="D124" s="14" t="s">
        <v>36</v>
      </c>
      <c r="E124" s="24" t="str">
        <f>Testdaten!$B$14</f>
        <v>Max Mustermann</v>
      </c>
      <c r="F124" s="18"/>
      <c r="G124" s="18"/>
      <c r="H124" s="18"/>
      <c r="I124" s="18"/>
    </row>
    <row r="125" spans="1:9" x14ac:dyDescent="0.35">
      <c r="A125" s="14">
        <v>13</v>
      </c>
      <c r="B125" s="14" t="s">
        <v>53</v>
      </c>
      <c r="C125" s="14" t="s">
        <v>103</v>
      </c>
      <c r="D125" s="14" t="s">
        <v>38</v>
      </c>
      <c r="E125" s="24" t="str">
        <f>Testdaten!$B$15</f>
        <v>+49 171 1234567</v>
      </c>
      <c r="F125" s="18"/>
      <c r="G125" s="18"/>
      <c r="H125" s="18"/>
      <c r="I125" s="18"/>
    </row>
    <row r="126" spans="1:9" x14ac:dyDescent="0.35">
      <c r="A126" s="14">
        <v>13</v>
      </c>
      <c r="B126" s="14" t="s">
        <v>53</v>
      </c>
      <c r="C126" s="14" t="s">
        <v>103</v>
      </c>
      <c r="D126" s="14" t="s">
        <v>40</v>
      </c>
      <c r="E126" s="24" t="str">
        <f>Testdaten!$B$16</f>
        <v>Erika Musterfrau</v>
      </c>
      <c r="F126" s="18"/>
      <c r="G126" s="18"/>
      <c r="H126" s="18"/>
      <c r="I126" s="18"/>
    </row>
    <row r="127" spans="1:9" x14ac:dyDescent="0.35">
      <c r="A127" s="14">
        <v>13</v>
      </c>
      <c r="B127" s="14" t="s">
        <v>53</v>
      </c>
      <c r="C127" s="14" t="s">
        <v>103</v>
      </c>
      <c r="D127" s="14" t="s">
        <v>42</v>
      </c>
      <c r="E127" s="24" t="str">
        <f>Testdaten!$B$17</f>
        <v>+49 160 7654321</v>
      </c>
      <c r="F127" s="18"/>
      <c r="G127" s="18"/>
      <c r="H127" s="18"/>
      <c r="I127" s="18"/>
    </row>
    <row r="128" spans="1:9" x14ac:dyDescent="0.35">
      <c r="A128" s="14">
        <v>13</v>
      </c>
      <c r="B128" s="14" t="s">
        <v>53</v>
      </c>
      <c r="C128" s="14" t="s">
        <v>103</v>
      </c>
      <c r="D128" s="14" t="s">
        <v>44</v>
      </c>
      <c r="E128" s="24" t="str">
        <f>Testdaten!$B$18</f>
        <v>ASI Abschaltung</v>
      </c>
      <c r="F128" s="18"/>
      <c r="G128" s="18"/>
      <c r="H128" s="18"/>
      <c r="I128" s="18"/>
    </row>
    <row r="129" spans="1:9" x14ac:dyDescent="0.35">
      <c r="A129" s="14">
        <v>13</v>
      </c>
      <c r="B129" s="14" t="s">
        <v>53</v>
      </c>
      <c r="C129" s="14" t="s">
        <v>103</v>
      </c>
      <c r="D129" s="14" t="s">
        <v>50</v>
      </c>
      <c r="E129" s="16">
        <f>Testdaten!$B$23</f>
        <v>46321.333333333336</v>
      </c>
      <c r="F129" s="18"/>
      <c r="G129" s="18"/>
      <c r="H129" s="18"/>
      <c r="I129" s="18"/>
    </row>
    <row r="130" spans="1:9" x14ac:dyDescent="0.35">
      <c r="A130" s="14">
        <v>13</v>
      </c>
      <c r="B130" s="14" t="s">
        <v>53</v>
      </c>
      <c r="C130" s="14" t="s">
        <v>103</v>
      </c>
      <c r="D130" s="14" t="s">
        <v>51</v>
      </c>
      <c r="E130" s="16">
        <f>Testdaten!$C$23</f>
        <v>46321.375</v>
      </c>
      <c r="F130" s="18"/>
      <c r="G130" s="18"/>
      <c r="H130" s="18"/>
      <c r="I130" s="18"/>
    </row>
    <row r="131" spans="1:9" x14ac:dyDescent="0.35">
      <c r="A131" s="14">
        <v>13</v>
      </c>
      <c r="B131" s="14" t="s">
        <v>53</v>
      </c>
      <c r="C131" s="14" t="s">
        <v>103</v>
      </c>
      <c r="D131" s="14" t="s">
        <v>119</v>
      </c>
      <c r="E131" s="24" t="s">
        <v>120</v>
      </c>
      <c r="F131" s="18"/>
      <c r="G131" s="18"/>
      <c r="H131" s="18"/>
      <c r="I131" s="18"/>
    </row>
    <row r="132" spans="1:9" x14ac:dyDescent="0.35">
      <c r="A132" s="14">
        <v>14</v>
      </c>
      <c r="B132" s="14" t="s">
        <v>53</v>
      </c>
      <c r="C132" s="14" t="s">
        <v>102</v>
      </c>
      <c r="D132" s="14" t="s">
        <v>118</v>
      </c>
      <c r="E132" s="24" t="str">
        <f>Testdaten!$B$4</f>
        <v>120990497</v>
      </c>
      <c r="F132" s="18"/>
      <c r="G132" s="18"/>
      <c r="H132" s="18"/>
      <c r="I132" s="18"/>
    </row>
    <row r="133" spans="1:9" x14ac:dyDescent="0.35">
      <c r="A133" s="14">
        <v>14</v>
      </c>
      <c r="B133" s="14" t="s">
        <v>53</v>
      </c>
      <c r="C133" s="14" t="s">
        <v>102</v>
      </c>
      <c r="D133" s="14" t="s">
        <v>32</v>
      </c>
      <c r="E133" s="24" t="str">
        <f>Testdaten!$B$12</f>
        <v>Vodafone / Vantage</v>
      </c>
      <c r="F133" s="18"/>
      <c r="G133" s="18"/>
      <c r="H133" s="18"/>
      <c r="I133" s="18"/>
    </row>
    <row r="134" spans="1:9" x14ac:dyDescent="0.35">
      <c r="A134" s="14">
        <v>14</v>
      </c>
      <c r="B134" s="14" t="s">
        <v>53</v>
      </c>
      <c r="C134" s="14" t="s">
        <v>102</v>
      </c>
      <c r="D134" s="14" t="s">
        <v>36</v>
      </c>
      <c r="E134" s="24" t="str">
        <f>Testdaten!$B$14</f>
        <v>Max Mustermann</v>
      </c>
      <c r="F134" s="18"/>
      <c r="G134" s="18"/>
      <c r="H134" s="18"/>
      <c r="I134" s="18"/>
    </row>
    <row r="135" spans="1:9" x14ac:dyDescent="0.35">
      <c r="A135" s="14">
        <v>14</v>
      </c>
      <c r="B135" s="14" t="s">
        <v>53</v>
      </c>
      <c r="C135" s="14" t="s">
        <v>102</v>
      </c>
      <c r="D135" s="14" t="s">
        <v>38</v>
      </c>
      <c r="E135" s="24" t="str">
        <f>Testdaten!$B$15</f>
        <v>+49 171 1234567</v>
      </c>
      <c r="F135" s="18"/>
      <c r="G135" s="18"/>
      <c r="H135" s="18"/>
      <c r="I135" s="18"/>
    </row>
    <row r="136" spans="1:9" x14ac:dyDescent="0.35">
      <c r="A136" s="14">
        <v>14</v>
      </c>
      <c r="B136" s="14" t="s">
        <v>53</v>
      </c>
      <c r="C136" s="14" t="s">
        <v>102</v>
      </c>
      <c r="D136" s="14" t="s">
        <v>40</v>
      </c>
      <c r="E136" s="24" t="str">
        <f>Testdaten!$B$16</f>
        <v>Erika Musterfrau</v>
      </c>
      <c r="F136" s="18"/>
      <c r="G136" s="18"/>
      <c r="H136" s="18"/>
      <c r="I136" s="18"/>
    </row>
    <row r="137" spans="1:9" x14ac:dyDescent="0.35">
      <c r="A137" s="14">
        <v>14</v>
      </c>
      <c r="B137" s="14" t="s">
        <v>53</v>
      </c>
      <c r="C137" s="14" t="s">
        <v>102</v>
      </c>
      <c r="D137" s="14" t="s">
        <v>42</v>
      </c>
      <c r="E137" s="24" t="str">
        <f>Testdaten!$B$17</f>
        <v>+49 160 7654321</v>
      </c>
      <c r="F137" s="18"/>
      <c r="G137" s="18"/>
      <c r="H137" s="18"/>
      <c r="I137" s="18"/>
    </row>
    <row r="138" spans="1:9" x14ac:dyDescent="0.35">
      <c r="A138" s="14">
        <v>14</v>
      </c>
      <c r="B138" s="14" t="s">
        <v>53</v>
      </c>
      <c r="C138" s="14" t="s">
        <v>102</v>
      </c>
      <c r="D138" s="14" t="s">
        <v>44</v>
      </c>
      <c r="E138" s="24" t="str">
        <f>Testdaten!$B$18</f>
        <v>ASI Abschaltung</v>
      </c>
      <c r="F138" s="18"/>
      <c r="G138" s="18"/>
      <c r="H138" s="18"/>
      <c r="I138" s="18"/>
    </row>
    <row r="139" spans="1:9" x14ac:dyDescent="0.35">
      <c r="A139" s="14">
        <v>14</v>
      </c>
      <c r="B139" s="14" t="s">
        <v>53</v>
      </c>
      <c r="C139" s="14" t="s">
        <v>102</v>
      </c>
      <c r="D139" s="14" t="s">
        <v>50</v>
      </c>
      <c r="E139" s="16">
        <f>Testdaten!$B$23</f>
        <v>46321.333333333336</v>
      </c>
      <c r="F139" s="18"/>
      <c r="G139" s="18"/>
      <c r="H139" s="18"/>
      <c r="I139" s="18"/>
    </row>
    <row r="140" spans="1:9" x14ac:dyDescent="0.35">
      <c r="A140" s="14">
        <v>14</v>
      </c>
      <c r="B140" s="14" t="s">
        <v>53</v>
      </c>
      <c r="C140" s="14" t="s">
        <v>102</v>
      </c>
      <c r="D140" s="14" t="s">
        <v>51</v>
      </c>
      <c r="E140" s="16">
        <f>Testdaten!$C$23</f>
        <v>46321.375</v>
      </c>
      <c r="F140" s="18"/>
      <c r="G140" s="18"/>
      <c r="H140" s="18"/>
      <c r="I140" s="18"/>
    </row>
    <row r="141" spans="1:9" x14ac:dyDescent="0.35">
      <c r="A141" s="14">
        <v>14</v>
      </c>
      <c r="B141" s="14" t="s">
        <v>53</v>
      </c>
      <c r="C141" s="14" t="s">
        <v>102</v>
      </c>
      <c r="D141" s="14" t="s">
        <v>119</v>
      </c>
      <c r="E141" s="24" t="s">
        <v>120</v>
      </c>
      <c r="F141" s="18"/>
      <c r="G141" s="18"/>
      <c r="H141" s="18"/>
      <c r="I141" s="18"/>
    </row>
    <row r="142" spans="1:9" x14ac:dyDescent="0.35">
      <c r="A142" s="14">
        <v>15</v>
      </c>
      <c r="B142" s="14" t="s">
        <v>55</v>
      </c>
      <c r="C142" s="14" t="s">
        <v>102</v>
      </c>
      <c r="D142" s="14" t="s">
        <v>118</v>
      </c>
      <c r="E142" s="24" t="s">
        <v>187</v>
      </c>
      <c r="F142" s="18"/>
      <c r="G142" s="18"/>
      <c r="H142" s="18"/>
      <c r="I142" s="18"/>
    </row>
    <row r="143" spans="1:9" x14ac:dyDescent="0.35">
      <c r="A143" s="14">
        <v>15</v>
      </c>
      <c r="B143" s="14" t="s">
        <v>55</v>
      </c>
      <c r="C143" s="14" t="s">
        <v>102</v>
      </c>
      <c r="D143" s="14" t="s">
        <v>32</v>
      </c>
      <c r="E143" s="24" t="str">
        <f>Testdaten!$B$12</f>
        <v>Vodafone / Vantage</v>
      </c>
      <c r="F143" s="18"/>
      <c r="G143" s="18"/>
      <c r="H143" s="18"/>
      <c r="I143" s="18"/>
    </row>
    <row r="144" spans="1:9" x14ac:dyDescent="0.35">
      <c r="A144" s="14">
        <v>15</v>
      </c>
      <c r="B144" s="14" t="s">
        <v>55</v>
      </c>
      <c r="C144" s="14" t="s">
        <v>102</v>
      </c>
      <c r="D144" s="14" t="s">
        <v>36</v>
      </c>
      <c r="E144" s="24" t="str">
        <f>Testdaten!$B$14</f>
        <v>Max Mustermann</v>
      </c>
      <c r="F144" s="18"/>
      <c r="G144" s="18"/>
      <c r="H144" s="18"/>
      <c r="I144" s="18"/>
    </row>
    <row r="145" spans="1:9" x14ac:dyDescent="0.35">
      <c r="A145" s="14">
        <v>15</v>
      </c>
      <c r="B145" s="14" t="s">
        <v>55</v>
      </c>
      <c r="C145" s="14" t="s">
        <v>102</v>
      </c>
      <c r="D145" s="14" t="s">
        <v>38</v>
      </c>
      <c r="E145" s="24" t="str">
        <f>Testdaten!$B$15</f>
        <v>+49 171 1234567</v>
      </c>
      <c r="F145" s="18"/>
      <c r="G145" s="18"/>
      <c r="H145" s="18"/>
      <c r="I145" s="18"/>
    </row>
    <row r="146" spans="1:9" x14ac:dyDescent="0.35">
      <c r="A146" s="14">
        <v>15</v>
      </c>
      <c r="B146" s="14" t="s">
        <v>55</v>
      </c>
      <c r="C146" s="14" t="s">
        <v>102</v>
      </c>
      <c r="D146" s="14" t="s">
        <v>40</v>
      </c>
      <c r="E146" s="24" t="str">
        <f>Testdaten!$B$16</f>
        <v>Erika Musterfrau</v>
      </c>
      <c r="F146" s="18"/>
      <c r="G146" s="18"/>
      <c r="H146" s="18"/>
      <c r="I146" s="18"/>
    </row>
    <row r="147" spans="1:9" x14ac:dyDescent="0.35">
      <c r="A147" s="14">
        <v>15</v>
      </c>
      <c r="B147" s="14" t="s">
        <v>55</v>
      </c>
      <c r="C147" s="14" t="s">
        <v>102</v>
      </c>
      <c r="D147" s="14" t="s">
        <v>42</v>
      </c>
      <c r="E147" s="24" t="str">
        <f>Testdaten!$B$17</f>
        <v>+49 160 7654321</v>
      </c>
      <c r="F147" s="18"/>
      <c r="G147" s="18"/>
      <c r="H147" s="18"/>
      <c r="I147" s="18"/>
    </row>
    <row r="148" spans="1:9" x14ac:dyDescent="0.35">
      <c r="A148" s="14">
        <v>15</v>
      </c>
      <c r="B148" s="14" t="s">
        <v>55</v>
      </c>
      <c r="C148" s="14" t="s">
        <v>102</v>
      </c>
      <c r="D148" s="14" t="s">
        <v>44</v>
      </c>
      <c r="E148" s="24" t="str">
        <f>Testdaten!$B$18</f>
        <v>ASI Abschaltung</v>
      </c>
      <c r="F148" s="18"/>
      <c r="G148" s="18"/>
      <c r="H148" s="18"/>
      <c r="I148" s="18"/>
    </row>
    <row r="149" spans="1:9" x14ac:dyDescent="0.35">
      <c r="A149" s="14">
        <v>15</v>
      </c>
      <c r="B149" s="14" t="s">
        <v>55</v>
      </c>
      <c r="C149" s="14" t="s">
        <v>102</v>
      </c>
      <c r="D149" s="14" t="s">
        <v>50</v>
      </c>
      <c r="E149" s="16">
        <f>Testdaten!$B$24</f>
        <v>46322.333333333336</v>
      </c>
      <c r="F149" s="18"/>
      <c r="G149" s="18"/>
      <c r="H149" s="18"/>
      <c r="I149" s="18"/>
    </row>
    <row r="150" spans="1:9" x14ac:dyDescent="0.35">
      <c r="A150" s="14">
        <v>15</v>
      </c>
      <c r="B150" s="14" t="s">
        <v>55</v>
      </c>
      <c r="C150" s="14" t="s">
        <v>102</v>
      </c>
      <c r="D150" s="14" t="s">
        <v>51</v>
      </c>
      <c r="E150" s="16">
        <f>Testdaten!$C$24</f>
        <v>46322.375</v>
      </c>
      <c r="F150" s="18"/>
      <c r="G150" s="18"/>
      <c r="H150" s="18"/>
      <c r="I150" s="18"/>
    </row>
    <row r="151" spans="1:9" x14ac:dyDescent="0.35">
      <c r="A151" s="14">
        <v>15</v>
      </c>
      <c r="B151" s="14" t="s">
        <v>55</v>
      </c>
      <c r="C151" s="14" t="s">
        <v>102</v>
      </c>
      <c r="D151" s="14" t="s">
        <v>119</v>
      </c>
      <c r="E151" s="24" t="s">
        <v>120</v>
      </c>
      <c r="F151" s="18"/>
      <c r="G151" s="18"/>
      <c r="H151" s="18"/>
      <c r="I151" s="18"/>
    </row>
    <row r="152" spans="1:9" x14ac:dyDescent="0.35">
      <c r="A152" s="14">
        <v>16</v>
      </c>
      <c r="B152" s="14" t="s">
        <v>55</v>
      </c>
      <c r="C152" s="14" t="s">
        <v>103</v>
      </c>
      <c r="D152" s="14" t="s">
        <v>118</v>
      </c>
      <c r="E152" s="24" t="s">
        <v>187</v>
      </c>
      <c r="F152" s="18"/>
      <c r="G152" s="18"/>
      <c r="H152" s="18"/>
      <c r="I152" s="18"/>
    </row>
    <row r="153" spans="1:9" x14ac:dyDescent="0.35">
      <c r="A153" s="14">
        <v>16</v>
      </c>
      <c r="B153" s="14" t="s">
        <v>55</v>
      </c>
      <c r="C153" s="14" t="s">
        <v>103</v>
      </c>
      <c r="D153" s="14" t="s">
        <v>32</v>
      </c>
      <c r="E153" s="24" t="str">
        <f>Testdaten!$B$12</f>
        <v>Vodafone / Vantage</v>
      </c>
      <c r="F153" s="18"/>
      <c r="G153" s="18"/>
      <c r="H153" s="18"/>
      <c r="I153" s="18"/>
    </row>
    <row r="154" spans="1:9" x14ac:dyDescent="0.35">
      <c r="A154" s="14">
        <v>16</v>
      </c>
      <c r="B154" s="14" t="s">
        <v>55</v>
      </c>
      <c r="C154" s="14" t="s">
        <v>103</v>
      </c>
      <c r="D154" s="14" t="s">
        <v>36</v>
      </c>
      <c r="E154" s="24" t="str">
        <f>Testdaten!$B$14</f>
        <v>Max Mustermann</v>
      </c>
      <c r="F154" s="18"/>
      <c r="G154" s="18"/>
      <c r="H154" s="18"/>
      <c r="I154" s="18"/>
    </row>
    <row r="155" spans="1:9" x14ac:dyDescent="0.35">
      <c r="A155" s="14">
        <v>16</v>
      </c>
      <c r="B155" s="14" t="s">
        <v>55</v>
      </c>
      <c r="C155" s="14" t="s">
        <v>103</v>
      </c>
      <c r="D155" s="14" t="s">
        <v>38</v>
      </c>
      <c r="E155" s="24" t="str">
        <f>Testdaten!$B$15</f>
        <v>+49 171 1234567</v>
      </c>
      <c r="F155" s="18"/>
      <c r="G155" s="18"/>
      <c r="H155" s="18"/>
      <c r="I155" s="18"/>
    </row>
    <row r="156" spans="1:9" x14ac:dyDescent="0.35">
      <c r="A156" s="14">
        <v>16</v>
      </c>
      <c r="B156" s="14" t="s">
        <v>55</v>
      </c>
      <c r="C156" s="14" t="s">
        <v>103</v>
      </c>
      <c r="D156" s="14" t="s">
        <v>40</v>
      </c>
      <c r="E156" s="24" t="str">
        <f>Testdaten!$B$16</f>
        <v>Erika Musterfrau</v>
      </c>
      <c r="F156" s="18"/>
      <c r="G156" s="18"/>
      <c r="H156" s="18"/>
      <c r="I156" s="18"/>
    </row>
    <row r="157" spans="1:9" x14ac:dyDescent="0.35">
      <c r="A157" s="14">
        <v>16</v>
      </c>
      <c r="B157" s="14" t="s">
        <v>55</v>
      </c>
      <c r="C157" s="14" t="s">
        <v>103</v>
      </c>
      <c r="D157" s="14" t="s">
        <v>42</v>
      </c>
      <c r="E157" s="24" t="str">
        <f>Testdaten!$B$17</f>
        <v>+49 160 7654321</v>
      </c>
      <c r="F157" s="18"/>
      <c r="G157" s="18"/>
      <c r="H157" s="18"/>
      <c r="I157" s="18"/>
    </row>
    <row r="158" spans="1:9" x14ac:dyDescent="0.35">
      <c r="A158" s="14">
        <v>16</v>
      </c>
      <c r="B158" s="14" t="s">
        <v>55</v>
      </c>
      <c r="C158" s="14" t="s">
        <v>103</v>
      </c>
      <c r="D158" s="14" t="s">
        <v>44</v>
      </c>
      <c r="E158" s="24" t="str">
        <f>Testdaten!$B$18</f>
        <v>ASI Abschaltung</v>
      </c>
      <c r="F158" s="18"/>
      <c r="G158" s="18"/>
      <c r="H158" s="18"/>
      <c r="I158" s="18"/>
    </row>
    <row r="159" spans="1:9" x14ac:dyDescent="0.35">
      <c r="A159" s="14">
        <v>16</v>
      </c>
      <c r="B159" s="14" t="s">
        <v>55</v>
      </c>
      <c r="C159" s="14" t="s">
        <v>103</v>
      </c>
      <c r="D159" s="14" t="s">
        <v>50</v>
      </c>
      <c r="E159" s="16">
        <f>Testdaten!$B$24</f>
        <v>46322.333333333336</v>
      </c>
      <c r="F159" s="18"/>
      <c r="G159" s="18"/>
      <c r="H159" s="18"/>
      <c r="I159" s="18"/>
    </row>
    <row r="160" spans="1:9" x14ac:dyDescent="0.35">
      <c r="A160" s="14">
        <v>16</v>
      </c>
      <c r="B160" s="14" t="s">
        <v>55</v>
      </c>
      <c r="C160" s="14" t="s">
        <v>103</v>
      </c>
      <c r="D160" s="14" t="s">
        <v>51</v>
      </c>
      <c r="E160" s="16">
        <f>Testdaten!$C$24</f>
        <v>46322.375</v>
      </c>
      <c r="F160" s="18"/>
      <c r="G160" s="18"/>
      <c r="H160" s="18"/>
      <c r="I160" s="18"/>
    </row>
    <row r="161" spans="1:9" x14ac:dyDescent="0.35">
      <c r="A161" s="14">
        <v>16</v>
      </c>
      <c r="B161" s="14" t="s">
        <v>55</v>
      </c>
      <c r="C161" s="14" t="s">
        <v>103</v>
      </c>
      <c r="D161" s="14" t="s">
        <v>119</v>
      </c>
      <c r="E161" s="24" t="s">
        <v>120</v>
      </c>
      <c r="F161" s="18"/>
      <c r="G161" s="18"/>
      <c r="H161" s="18"/>
      <c r="I161" s="18"/>
    </row>
    <row r="162" spans="1:9" x14ac:dyDescent="0.35">
      <c r="A162" s="14">
        <v>17</v>
      </c>
      <c r="B162" s="14" t="s">
        <v>57</v>
      </c>
      <c r="C162" s="14" t="s">
        <v>103</v>
      </c>
      <c r="D162" s="14" t="s">
        <v>118</v>
      </c>
      <c r="E162" s="24" t="s">
        <v>188</v>
      </c>
      <c r="F162" s="18"/>
      <c r="G162" s="18"/>
      <c r="H162" s="18"/>
      <c r="I162" s="18"/>
    </row>
    <row r="163" spans="1:9" x14ac:dyDescent="0.35">
      <c r="A163" s="14">
        <v>17</v>
      </c>
      <c r="B163" s="14" t="s">
        <v>57</v>
      </c>
      <c r="C163" s="14" t="s">
        <v>103</v>
      </c>
      <c r="D163" s="14" t="s">
        <v>32</v>
      </c>
      <c r="E163" s="24" t="str">
        <f>Testdaten!$B$12</f>
        <v>Vodafone / Vantage</v>
      </c>
      <c r="F163" s="18"/>
      <c r="G163" s="18"/>
      <c r="H163" s="18"/>
      <c r="I163" s="18"/>
    </row>
    <row r="164" spans="1:9" x14ac:dyDescent="0.35">
      <c r="A164" s="14">
        <v>17</v>
      </c>
      <c r="B164" s="14" t="s">
        <v>57</v>
      </c>
      <c r="C164" s="14" t="s">
        <v>103</v>
      </c>
      <c r="D164" s="14" t="s">
        <v>36</v>
      </c>
      <c r="E164" s="24" t="str">
        <f>Testdaten!$B$14</f>
        <v>Max Mustermann</v>
      </c>
      <c r="F164" s="18"/>
      <c r="G164" s="18"/>
      <c r="H164" s="18"/>
      <c r="I164" s="18"/>
    </row>
    <row r="165" spans="1:9" x14ac:dyDescent="0.35">
      <c r="A165" s="14">
        <v>17</v>
      </c>
      <c r="B165" s="14" t="s">
        <v>57</v>
      </c>
      <c r="C165" s="14" t="s">
        <v>103</v>
      </c>
      <c r="D165" s="14" t="s">
        <v>38</v>
      </c>
      <c r="E165" s="24" t="str">
        <f>Testdaten!$B$15</f>
        <v>+49 171 1234567</v>
      </c>
      <c r="F165" s="18"/>
      <c r="G165" s="18"/>
      <c r="H165" s="18"/>
      <c r="I165" s="18"/>
    </row>
    <row r="166" spans="1:9" x14ac:dyDescent="0.35">
      <c r="A166" s="14">
        <v>17</v>
      </c>
      <c r="B166" s="14" t="s">
        <v>57</v>
      </c>
      <c r="C166" s="14" t="s">
        <v>103</v>
      </c>
      <c r="D166" s="14" t="s">
        <v>40</v>
      </c>
      <c r="E166" s="24" t="str">
        <f>Testdaten!$B$16</f>
        <v>Erika Musterfrau</v>
      </c>
      <c r="F166" s="18"/>
      <c r="G166" s="18"/>
      <c r="H166" s="18"/>
      <c r="I166" s="18"/>
    </row>
    <row r="167" spans="1:9" x14ac:dyDescent="0.35">
      <c r="A167" s="14">
        <v>17</v>
      </c>
      <c r="B167" s="14" t="s">
        <v>57</v>
      </c>
      <c r="C167" s="14" t="s">
        <v>103</v>
      </c>
      <c r="D167" s="14" t="s">
        <v>42</v>
      </c>
      <c r="E167" s="24" t="str">
        <f>Testdaten!$B$17</f>
        <v>+49 160 7654321</v>
      </c>
      <c r="F167" s="18"/>
      <c r="G167" s="18"/>
      <c r="H167" s="18"/>
      <c r="I167" s="18"/>
    </row>
    <row r="168" spans="1:9" x14ac:dyDescent="0.35">
      <c r="A168" s="14">
        <v>17</v>
      </c>
      <c r="B168" s="14" t="s">
        <v>57</v>
      </c>
      <c r="C168" s="14" t="s">
        <v>103</v>
      </c>
      <c r="D168" s="14" t="s">
        <v>44</v>
      </c>
      <c r="E168" s="24" t="str">
        <f>Testdaten!$B$18</f>
        <v>ASI Abschaltung</v>
      </c>
      <c r="F168" s="18"/>
      <c r="G168" s="18"/>
      <c r="H168" s="18"/>
      <c r="I168" s="18"/>
    </row>
    <row r="169" spans="1:9" x14ac:dyDescent="0.35">
      <c r="A169" s="14">
        <v>17</v>
      </c>
      <c r="B169" s="14" t="s">
        <v>57</v>
      </c>
      <c r="C169" s="14" t="s">
        <v>103</v>
      </c>
      <c r="D169" s="14" t="s">
        <v>50</v>
      </c>
      <c r="E169" s="16">
        <f>Testdaten!$B$25</f>
        <v>46323.333333333336</v>
      </c>
      <c r="F169" s="18"/>
      <c r="G169" s="18"/>
      <c r="H169" s="18"/>
      <c r="I169" s="18"/>
    </row>
    <row r="170" spans="1:9" x14ac:dyDescent="0.35">
      <c r="A170" s="14">
        <v>17</v>
      </c>
      <c r="B170" s="14" t="s">
        <v>57</v>
      </c>
      <c r="C170" s="14" t="s">
        <v>103</v>
      </c>
      <c r="D170" s="14" t="s">
        <v>51</v>
      </c>
      <c r="E170" s="16">
        <f>Testdaten!$C$25</f>
        <v>46323.375</v>
      </c>
      <c r="F170" s="18"/>
      <c r="G170" s="18"/>
      <c r="H170" s="18"/>
      <c r="I170" s="18"/>
    </row>
    <row r="171" spans="1:9" x14ac:dyDescent="0.35">
      <c r="A171" s="14">
        <v>17</v>
      </c>
      <c r="B171" s="14" t="s">
        <v>57</v>
      </c>
      <c r="C171" s="14" t="s">
        <v>103</v>
      </c>
      <c r="D171" s="14" t="s">
        <v>119</v>
      </c>
      <c r="E171" s="24" t="s">
        <v>120</v>
      </c>
      <c r="F171" s="18"/>
      <c r="G171" s="18"/>
      <c r="H171" s="18"/>
      <c r="I171" s="18"/>
    </row>
    <row r="172" spans="1:9" x14ac:dyDescent="0.35">
      <c r="A172" s="14">
        <v>18</v>
      </c>
      <c r="B172" s="14" t="s">
        <v>57</v>
      </c>
      <c r="C172" s="14" t="s">
        <v>102</v>
      </c>
      <c r="D172" s="14" t="s">
        <v>118</v>
      </c>
      <c r="E172" s="24" t="s">
        <v>188</v>
      </c>
      <c r="F172" s="18"/>
      <c r="G172" s="18"/>
      <c r="H172" s="18"/>
      <c r="I172" s="18"/>
    </row>
    <row r="173" spans="1:9" x14ac:dyDescent="0.35">
      <c r="A173" s="14">
        <v>18</v>
      </c>
      <c r="B173" s="14" t="s">
        <v>57</v>
      </c>
      <c r="C173" s="14" t="s">
        <v>102</v>
      </c>
      <c r="D173" s="14" t="s">
        <v>32</v>
      </c>
      <c r="E173" s="24" t="str">
        <f>Testdaten!$B$12</f>
        <v>Vodafone / Vantage</v>
      </c>
      <c r="F173" s="18"/>
      <c r="G173" s="18"/>
      <c r="H173" s="18"/>
      <c r="I173" s="18"/>
    </row>
    <row r="174" spans="1:9" x14ac:dyDescent="0.35">
      <c r="A174" s="14">
        <v>18</v>
      </c>
      <c r="B174" s="14" t="s">
        <v>57</v>
      </c>
      <c r="C174" s="14" t="s">
        <v>102</v>
      </c>
      <c r="D174" s="14" t="s">
        <v>36</v>
      </c>
      <c r="E174" s="24" t="str">
        <f>Testdaten!$B$14</f>
        <v>Max Mustermann</v>
      </c>
      <c r="F174" s="18"/>
      <c r="G174" s="18"/>
      <c r="H174" s="18"/>
      <c r="I174" s="18"/>
    </row>
    <row r="175" spans="1:9" x14ac:dyDescent="0.35">
      <c r="A175" s="14">
        <v>18</v>
      </c>
      <c r="B175" s="14" t="s">
        <v>57</v>
      </c>
      <c r="C175" s="14" t="s">
        <v>102</v>
      </c>
      <c r="D175" s="14" t="s">
        <v>38</v>
      </c>
      <c r="E175" s="24" t="str">
        <f>Testdaten!$B$15</f>
        <v>+49 171 1234567</v>
      </c>
      <c r="F175" s="18"/>
      <c r="G175" s="18"/>
      <c r="H175" s="18"/>
      <c r="I175" s="18"/>
    </row>
    <row r="176" spans="1:9" x14ac:dyDescent="0.35">
      <c r="A176" s="14">
        <v>18</v>
      </c>
      <c r="B176" s="14" t="s">
        <v>57</v>
      </c>
      <c r="C176" s="14" t="s">
        <v>102</v>
      </c>
      <c r="D176" s="14" t="s">
        <v>40</v>
      </c>
      <c r="E176" s="24" t="str">
        <f>Testdaten!$B$16</f>
        <v>Erika Musterfrau</v>
      </c>
      <c r="F176" s="18"/>
      <c r="G176" s="18"/>
      <c r="H176" s="18"/>
      <c r="I176" s="18"/>
    </row>
    <row r="177" spans="1:9" x14ac:dyDescent="0.35">
      <c r="A177" s="14">
        <v>18</v>
      </c>
      <c r="B177" s="14" t="s">
        <v>57</v>
      </c>
      <c r="C177" s="14" t="s">
        <v>102</v>
      </c>
      <c r="D177" s="14" t="s">
        <v>42</v>
      </c>
      <c r="E177" s="24" t="str">
        <f>Testdaten!$B$17</f>
        <v>+49 160 7654321</v>
      </c>
      <c r="F177" s="18"/>
      <c r="G177" s="18"/>
      <c r="H177" s="18"/>
      <c r="I177" s="18"/>
    </row>
    <row r="178" spans="1:9" x14ac:dyDescent="0.35">
      <c r="A178" s="14">
        <v>18</v>
      </c>
      <c r="B178" s="14" t="s">
        <v>57</v>
      </c>
      <c r="C178" s="14" t="s">
        <v>102</v>
      </c>
      <c r="D178" s="14" t="s">
        <v>44</v>
      </c>
      <c r="E178" s="24" t="str">
        <f>Testdaten!$B$18</f>
        <v>ASI Abschaltung</v>
      </c>
      <c r="F178" s="18"/>
      <c r="G178" s="18"/>
      <c r="H178" s="18"/>
      <c r="I178" s="18"/>
    </row>
    <row r="179" spans="1:9" x14ac:dyDescent="0.35">
      <c r="A179" s="14">
        <v>18</v>
      </c>
      <c r="B179" s="14" t="s">
        <v>57</v>
      </c>
      <c r="C179" s="14" t="s">
        <v>102</v>
      </c>
      <c r="D179" s="14" t="s">
        <v>50</v>
      </c>
      <c r="E179" s="16">
        <f>Testdaten!$B$25</f>
        <v>46323.333333333336</v>
      </c>
      <c r="F179" s="18"/>
      <c r="G179" s="18"/>
      <c r="H179" s="18"/>
      <c r="I179" s="18"/>
    </row>
    <row r="180" spans="1:9" x14ac:dyDescent="0.35">
      <c r="A180" s="14">
        <v>18</v>
      </c>
      <c r="B180" s="14" t="s">
        <v>57</v>
      </c>
      <c r="C180" s="14" t="s">
        <v>102</v>
      </c>
      <c r="D180" s="14" t="s">
        <v>51</v>
      </c>
      <c r="E180" s="16">
        <f>Testdaten!$C$25</f>
        <v>46323.375</v>
      </c>
      <c r="F180" s="18"/>
      <c r="G180" s="18"/>
      <c r="H180" s="18"/>
      <c r="I180" s="18"/>
    </row>
    <row r="181" spans="1:9" x14ac:dyDescent="0.35">
      <c r="A181" s="14">
        <v>18</v>
      </c>
      <c r="B181" s="14" t="s">
        <v>57</v>
      </c>
      <c r="C181" s="14" t="s">
        <v>102</v>
      </c>
      <c r="D181" s="14" t="s">
        <v>119</v>
      </c>
      <c r="E181" s="24" t="s">
        <v>120</v>
      </c>
      <c r="F181" s="18"/>
      <c r="G181" s="18"/>
      <c r="H181" s="18"/>
      <c r="I181" s="18"/>
    </row>
    <row r="182" spans="1:9" x14ac:dyDescent="0.35">
      <c r="A182" s="14">
        <v>19</v>
      </c>
      <c r="B182" s="14" t="s">
        <v>104</v>
      </c>
      <c r="C182" s="14" t="s">
        <v>102</v>
      </c>
      <c r="D182" s="14" t="s">
        <v>118</v>
      </c>
      <c r="E182" s="24" t="str">
        <f>Testdaten!$B$4</f>
        <v>120990497</v>
      </c>
      <c r="F182" s="18"/>
      <c r="G182" s="18"/>
      <c r="H182" s="18"/>
      <c r="I182" s="18"/>
    </row>
    <row r="183" spans="1:9" x14ac:dyDescent="0.35">
      <c r="A183" s="14">
        <v>19</v>
      </c>
      <c r="B183" s="14" t="s">
        <v>104</v>
      </c>
      <c r="C183" s="14" t="s">
        <v>102</v>
      </c>
      <c r="D183" s="14" t="s">
        <v>32</v>
      </c>
      <c r="E183" s="24" t="str">
        <f>Testdaten!$B$12</f>
        <v>Vodafone / Vantage</v>
      </c>
      <c r="F183" s="18"/>
      <c r="G183" s="18"/>
      <c r="H183" s="18"/>
      <c r="I183" s="18"/>
    </row>
    <row r="184" spans="1:9" x14ac:dyDescent="0.35">
      <c r="A184" s="14">
        <v>19</v>
      </c>
      <c r="B184" s="14" t="s">
        <v>104</v>
      </c>
      <c r="C184" s="14" t="s">
        <v>102</v>
      </c>
      <c r="D184" s="14" t="s">
        <v>36</v>
      </c>
      <c r="E184" s="24" t="str">
        <f>Testdaten!$B$14</f>
        <v>Max Mustermann</v>
      </c>
      <c r="F184" s="18"/>
      <c r="G184" s="18"/>
      <c r="H184" s="18"/>
      <c r="I184" s="18"/>
    </row>
    <row r="185" spans="1:9" x14ac:dyDescent="0.35">
      <c r="A185" s="14">
        <v>19</v>
      </c>
      <c r="B185" s="14" t="s">
        <v>104</v>
      </c>
      <c r="C185" s="14" t="s">
        <v>102</v>
      </c>
      <c r="D185" s="14" t="s">
        <v>38</v>
      </c>
      <c r="E185" s="24" t="str">
        <f>Testdaten!$B$15</f>
        <v>+49 171 1234567</v>
      </c>
      <c r="F185" s="18"/>
      <c r="G185" s="18"/>
      <c r="H185" s="18"/>
      <c r="I185" s="18"/>
    </row>
    <row r="186" spans="1:9" x14ac:dyDescent="0.35">
      <c r="A186" s="14">
        <v>19</v>
      </c>
      <c r="B186" s="14" t="s">
        <v>104</v>
      </c>
      <c r="C186" s="14" t="s">
        <v>102</v>
      </c>
      <c r="D186" s="14" t="s">
        <v>40</v>
      </c>
      <c r="E186" s="24" t="str">
        <f>Testdaten!$B$16</f>
        <v>Erika Musterfrau</v>
      </c>
      <c r="F186" s="18"/>
      <c r="G186" s="18"/>
      <c r="H186" s="18"/>
      <c r="I186" s="18"/>
    </row>
    <row r="187" spans="1:9" x14ac:dyDescent="0.35">
      <c r="A187" s="14">
        <v>19</v>
      </c>
      <c r="B187" s="14" t="s">
        <v>104</v>
      </c>
      <c r="C187" s="14" t="s">
        <v>102</v>
      </c>
      <c r="D187" s="14" t="s">
        <v>42</v>
      </c>
      <c r="E187" s="24" t="str">
        <f>Testdaten!$B$17</f>
        <v>+49 160 7654321</v>
      </c>
      <c r="F187" s="18"/>
      <c r="G187" s="18"/>
      <c r="H187" s="18"/>
      <c r="I187" s="18"/>
    </row>
    <row r="188" spans="1:9" x14ac:dyDescent="0.35">
      <c r="A188" s="14">
        <v>19</v>
      </c>
      <c r="B188" s="14" t="s">
        <v>104</v>
      </c>
      <c r="C188" s="14" t="s">
        <v>102</v>
      </c>
      <c r="D188" s="14" t="s">
        <v>44</v>
      </c>
      <c r="E188" s="24" t="str">
        <f>Testdaten!$B$18</f>
        <v>ASI Abschaltung</v>
      </c>
      <c r="F188" s="18"/>
      <c r="G188" s="18"/>
      <c r="H188" s="18"/>
      <c r="I188" s="18"/>
    </row>
    <row r="189" spans="1:9" x14ac:dyDescent="0.35">
      <c r="A189" s="14">
        <v>19</v>
      </c>
      <c r="B189" s="14" t="s">
        <v>104</v>
      </c>
      <c r="C189" s="14" t="s">
        <v>102</v>
      </c>
      <c r="D189" s="14" t="s">
        <v>50</v>
      </c>
      <c r="E189" s="16">
        <f>Testdaten!$B$27</f>
        <v>46335.333333333336</v>
      </c>
      <c r="F189" s="18"/>
      <c r="G189" s="18"/>
      <c r="H189" s="18"/>
      <c r="I189" s="18"/>
    </row>
    <row r="190" spans="1:9" x14ac:dyDescent="0.35">
      <c r="A190" s="14">
        <v>19</v>
      </c>
      <c r="B190" s="14" t="s">
        <v>104</v>
      </c>
      <c r="C190" s="14" t="s">
        <v>102</v>
      </c>
      <c r="D190" s="14" t="s">
        <v>51</v>
      </c>
      <c r="E190" s="16">
        <f>Testdaten!$C$27</f>
        <v>46335.375</v>
      </c>
      <c r="F190" s="18"/>
      <c r="G190" s="18"/>
      <c r="H190" s="18"/>
      <c r="I190" s="18"/>
    </row>
    <row r="191" spans="1:9" x14ac:dyDescent="0.35">
      <c r="A191" s="14">
        <v>19</v>
      </c>
      <c r="B191" s="14" t="s">
        <v>104</v>
      </c>
      <c r="C191" s="14" t="s">
        <v>102</v>
      </c>
      <c r="D191" s="14" t="s">
        <v>119</v>
      </c>
      <c r="E191" s="24" t="s">
        <v>120</v>
      </c>
      <c r="F191" s="18"/>
      <c r="G191" s="18"/>
      <c r="H191" s="18"/>
      <c r="I191" s="18"/>
    </row>
    <row r="192" spans="1:9" x14ac:dyDescent="0.35">
      <c r="A192" s="14">
        <v>20</v>
      </c>
      <c r="B192" s="14" t="s">
        <v>104</v>
      </c>
      <c r="C192" s="14" t="s">
        <v>103</v>
      </c>
      <c r="D192" s="14" t="s">
        <v>118</v>
      </c>
      <c r="E192" s="24" t="str">
        <f>Testdaten!$B$4</f>
        <v>120990497</v>
      </c>
      <c r="F192" s="18"/>
      <c r="G192" s="18"/>
      <c r="H192" s="18"/>
      <c r="I192" s="18"/>
    </row>
    <row r="193" spans="1:9" x14ac:dyDescent="0.35">
      <c r="A193" s="14">
        <v>20</v>
      </c>
      <c r="B193" s="14" t="s">
        <v>104</v>
      </c>
      <c r="C193" s="14" t="s">
        <v>103</v>
      </c>
      <c r="D193" s="14" t="s">
        <v>32</v>
      </c>
      <c r="E193" s="24" t="str">
        <f>Testdaten!$B$12</f>
        <v>Vodafone / Vantage</v>
      </c>
      <c r="F193" s="18"/>
      <c r="G193" s="18"/>
      <c r="H193" s="18"/>
      <c r="I193" s="18"/>
    </row>
    <row r="194" spans="1:9" x14ac:dyDescent="0.35">
      <c r="A194" s="14">
        <v>20</v>
      </c>
      <c r="B194" s="14" t="s">
        <v>104</v>
      </c>
      <c r="C194" s="14" t="s">
        <v>103</v>
      </c>
      <c r="D194" s="14" t="s">
        <v>36</v>
      </c>
      <c r="E194" s="24" t="str">
        <f>Testdaten!$B$14</f>
        <v>Max Mustermann</v>
      </c>
      <c r="F194" s="18"/>
      <c r="G194" s="18"/>
      <c r="H194" s="18"/>
      <c r="I194" s="18"/>
    </row>
    <row r="195" spans="1:9" x14ac:dyDescent="0.35">
      <c r="A195" s="14">
        <v>20</v>
      </c>
      <c r="B195" s="14" t="s">
        <v>104</v>
      </c>
      <c r="C195" s="14" t="s">
        <v>103</v>
      </c>
      <c r="D195" s="14" t="s">
        <v>38</v>
      </c>
      <c r="E195" s="24" t="str">
        <f>Testdaten!$B$15</f>
        <v>+49 171 1234567</v>
      </c>
      <c r="F195" s="18"/>
      <c r="G195" s="18"/>
      <c r="H195" s="18"/>
      <c r="I195" s="18"/>
    </row>
    <row r="196" spans="1:9" x14ac:dyDescent="0.35">
      <c r="A196" s="14">
        <v>20</v>
      </c>
      <c r="B196" s="14" t="s">
        <v>104</v>
      </c>
      <c r="C196" s="14" t="s">
        <v>103</v>
      </c>
      <c r="D196" s="14" t="s">
        <v>40</v>
      </c>
      <c r="E196" s="24" t="str">
        <f>Testdaten!$B$16</f>
        <v>Erika Musterfrau</v>
      </c>
      <c r="F196" s="18"/>
      <c r="G196" s="18"/>
      <c r="H196" s="18"/>
      <c r="I196" s="18"/>
    </row>
    <row r="197" spans="1:9" x14ac:dyDescent="0.35">
      <c r="A197" s="14">
        <v>20</v>
      </c>
      <c r="B197" s="14" t="s">
        <v>104</v>
      </c>
      <c r="C197" s="14" t="s">
        <v>103</v>
      </c>
      <c r="D197" s="14" t="s">
        <v>42</v>
      </c>
      <c r="E197" s="24" t="str">
        <f>Testdaten!$B$17</f>
        <v>+49 160 7654321</v>
      </c>
      <c r="F197" s="18"/>
      <c r="G197" s="18"/>
      <c r="H197" s="18"/>
      <c r="I197" s="18"/>
    </row>
    <row r="198" spans="1:9" x14ac:dyDescent="0.35">
      <c r="A198" s="14">
        <v>20</v>
      </c>
      <c r="B198" s="14" t="s">
        <v>104</v>
      </c>
      <c r="C198" s="14" t="s">
        <v>103</v>
      </c>
      <c r="D198" s="14" t="s">
        <v>44</v>
      </c>
      <c r="E198" s="24" t="str">
        <f>Testdaten!$B$18</f>
        <v>ASI Abschaltung</v>
      </c>
      <c r="F198" s="18"/>
      <c r="G198" s="18"/>
      <c r="H198" s="18"/>
      <c r="I198" s="18"/>
    </row>
    <row r="199" spans="1:9" x14ac:dyDescent="0.35">
      <c r="A199" s="14">
        <v>20</v>
      </c>
      <c r="B199" s="14" t="s">
        <v>104</v>
      </c>
      <c r="C199" s="14" t="s">
        <v>103</v>
      </c>
      <c r="D199" s="14" t="s">
        <v>50</v>
      </c>
      <c r="E199" s="16">
        <f>Testdaten!$B$27</f>
        <v>46335.333333333336</v>
      </c>
      <c r="F199" s="18"/>
      <c r="G199" s="18"/>
      <c r="H199" s="18"/>
      <c r="I199" s="18"/>
    </row>
    <row r="200" spans="1:9" x14ac:dyDescent="0.35">
      <c r="A200" s="14">
        <v>20</v>
      </c>
      <c r="B200" s="14" t="s">
        <v>104</v>
      </c>
      <c r="C200" s="14" t="s">
        <v>103</v>
      </c>
      <c r="D200" s="14" t="s">
        <v>51</v>
      </c>
      <c r="E200" s="16">
        <f>Testdaten!$C$27</f>
        <v>46335.375</v>
      </c>
      <c r="F200" s="18"/>
      <c r="G200" s="18"/>
      <c r="H200" s="18"/>
      <c r="I200" s="18"/>
    </row>
    <row r="201" spans="1:9" x14ac:dyDescent="0.35">
      <c r="A201" s="14">
        <v>20</v>
      </c>
      <c r="B201" s="14" t="s">
        <v>104</v>
      </c>
      <c r="C201" s="14" t="s">
        <v>103</v>
      </c>
      <c r="D201" s="14" t="s">
        <v>119</v>
      </c>
      <c r="E201" s="24" t="s">
        <v>120</v>
      </c>
      <c r="F201" s="18"/>
      <c r="G201" s="18"/>
      <c r="H201" s="18"/>
      <c r="I201" s="18"/>
    </row>
    <row r="202" spans="1:9" x14ac:dyDescent="0.35">
      <c r="A202" s="14">
        <v>21</v>
      </c>
      <c r="B202" s="14" t="s">
        <v>105</v>
      </c>
      <c r="C202" s="14" t="s">
        <v>103</v>
      </c>
      <c r="D202" s="14" t="s">
        <v>118</v>
      </c>
      <c r="E202" s="24" t="str">
        <f>Testdaten!$B$4</f>
        <v>120990497</v>
      </c>
      <c r="F202" s="18"/>
      <c r="G202" s="18"/>
      <c r="H202" s="18"/>
      <c r="I202" s="18"/>
    </row>
    <row r="203" spans="1:9" x14ac:dyDescent="0.35">
      <c r="A203" s="14">
        <v>21</v>
      </c>
      <c r="B203" s="14" t="s">
        <v>105</v>
      </c>
      <c r="C203" s="14" t="s">
        <v>103</v>
      </c>
      <c r="D203" s="14" t="s">
        <v>32</v>
      </c>
      <c r="E203" s="24" t="str">
        <f>Testdaten!$B$12</f>
        <v>Vodafone / Vantage</v>
      </c>
      <c r="F203" s="18"/>
      <c r="G203" s="18"/>
      <c r="H203" s="18"/>
      <c r="I203" s="18"/>
    </row>
    <row r="204" spans="1:9" x14ac:dyDescent="0.35">
      <c r="A204" s="14">
        <v>21</v>
      </c>
      <c r="B204" s="14" t="s">
        <v>105</v>
      </c>
      <c r="C204" s="14" t="s">
        <v>103</v>
      </c>
      <c r="D204" s="14" t="s">
        <v>36</v>
      </c>
      <c r="E204" s="24" t="str">
        <f>Testdaten!$B$14</f>
        <v>Max Mustermann</v>
      </c>
      <c r="F204" s="18"/>
      <c r="G204" s="18"/>
      <c r="H204" s="18"/>
      <c r="I204" s="18"/>
    </row>
    <row r="205" spans="1:9" x14ac:dyDescent="0.35">
      <c r="A205" s="14">
        <v>21</v>
      </c>
      <c r="B205" s="14" t="s">
        <v>105</v>
      </c>
      <c r="C205" s="14" t="s">
        <v>103</v>
      </c>
      <c r="D205" s="14" t="s">
        <v>38</v>
      </c>
      <c r="E205" s="24" t="str">
        <f>Testdaten!$B$15</f>
        <v>+49 171 1234567</v>
      </c>
      <c r="F205" s="18"/>
      <c r="G205" s="18"/>
      <c r="H205" s="18"/>
      <c r="I205" s="18"/>
    </row>
    <row r="206" spans="1:9" x14ac:dyDescent="0.35">
      <c r="A206" s="14">
        <v>21</v>
      </c>
      <c r="B206" s="14" t="s">
        <v>105</v>
      </c>
      <c r="C206" s="14" t="s">
        <v>103</v>
      </c>
      <c r="D206" s="14" t="s">
        <v>40</v>
      </c>
      <c r="E206" s="24" t="str">
        <f>Testdaten!$B$16</f>
        <v>Erika Musterfrau</v>
      </c>
      <c r="F206" s="18"/>
      <c r="G206" s="18"/>
      <c r="H206" s="18"/>
      <c r="I206" s="18"/>
    </row>
    <row r="207" spans="1:9" x14ac:dyDescent="0.35">
      <c r="A207" s="14">
        <v>21</v>
      </c>
      <c r="B207" s="14" t="s">
        <v>105</v>
      </c>
      <c r="C207" s="14" t="s">
        <v>103</v>
      </c>
      <c r="D207" s="14" t="s">
        <v>42</v>
      </c>
      <c r="E207" s="24" t="str">
        <f>Testdaten!$B$17</f>
        <v>+49 160 7654321</v>
      </c>
      <c r="F207" s="18"/>
      <c r="G207" s="18"/>
      <c r="H207" s="18"/>
      <c r="I207" s="18"/>
    </row>
    <row r="208" spans="1:9" x14ac:dyDescent="0.35">
      <c r="A208" s="14">
        <v>21</v>
      </c>
      <c r="B208" s="14" t="s">
        <v>105</v>
      </c>
      <c r="C208" s="14" t="s">
        <v>103</v>
      </c>
      <c r="D208" s="14" t="s">
        <v>44</v>
      </c>
      <c r="E208" s="24" t="str">
        <f>Testdaten!$B$18</f>
        <v>ASI Abschaltung</v>
      </c>
      <c r="F208" s="18"/>
      <c r="G208" s="18"/>
      <c r="H208" s="18"/>
      <c r="I208" s="18"/>
    </row>
    <row r="209" spans="1:9" x14ac:dyDescent="0.35">
      <c r="A209" s="14">
        <v>21</v>
      </c>
      <c r="B209" s="14" t="s">
        <v>105</v>
      </c>
      <c r="C209" s="14" t="s">
        <v>103</v>
      </c>
      <c r="D209" s="14" t="s">
        <v>50</v>
      </c>
      <c r="E209" s="16">
        <f>Testdaten!$B$29</f>
        <v>46343.333333333336</v>
      </c>
      <c r="F209" s="18"/>
      <c r="G209" s="18"/>
      <c r="H209" s="18"/>
      <c r="I209" s="18"/>
    </row>
    <row r="210" spans="1:9" x14ac:dyDescent="0.35">
      <c r="A210" s="14">
        <v>21</v>
      </c>
      <c r="B210" s="14" t="s">
        <v>105</v>
      </c>
      <c r="C210" s="14" t="s">
        <v>103</v>
      </c>
      <c r="D210" s="14" t="s">
        <v>51</v>
      </c>
      <c r="E210" s="16">
        <f>Testdaten!$C$29</f>
        <v>46345.375</v>
      </c>
      <c r="F210" s="18"/>
      <c r="G210" s="18"/>
      <c r="H210" s="18"/>
      <c r="I210" s="18"/>
    </row>
    <row r="211" spans="1:9" x14ac:dyDescent="0.35">
      <c r="A211" s="14">
        <v>21</v>
      </c>
      <c r="B211" s="14" t="s">
        <v>105</v>
      </c>
      <c r="C211" s="14" t="s">
        <v>103</v>
      </c>
      <c r="D211" s="14" t="s">
        <v>119</v>
      </c>
      <c r="E211" s="24" t="s">
        <v>120</v>
      </c>
      <c r="F211" s="18"/>
      <c r="G211" s="18"/>
      <c r="H211" s="18"/>
      <c r="I211" s="18"/>
    </row>
    <row r="212" spans="1:9" x14ac:dyDescent="0.35">
      <c r="A212" s="14">
        <v>22</v>
      </c>
      <c r="B212" s="14" t="s">
        <v>105</v>
      </c>
      <c r="C212" s="14" t="s">
        <v>102</v>
      </c>
      <c r="D212" s="14" t="s">
        <v>118</v>
      </c>
      <c r="E212" s="24" t="str">
        <f>Testdaten!$B$4</f>
        <v>120990497</v>
      </c>
      <c r="F212" s="18"/>
      <c r="G212" s="18"/>
      <c r="H212" s="18"/>
      <c r="I212" s="18"/>
    </row>
    <row r="213" spans="1:9" x14ac:dyDescent="0.35">
      <c r="A213" s="14">
        <v>22</v>
      </c>
      <c r="B213" s="14" t="s">
        <v>105</v>
      </c>
      <c r="C213" s="14" t="s">
        <v>102</v>
      </c>
      <c r="D213" s="14" t="s">
        <v>32</v>
      </c>
      <c r="E213" s="24" t="str">
        <f>Testdaten!$B$12</f>
        <v>Vodafone / Vantage</v>
      </c>
      <c r="F213" s="18"/>
      <c r="G213" s="18"/>
      <c r="H213" s="18"/>
      <c r="I213" s="18"/>
    </row>
    <row r="214" spans="1:9" x14ac:dyDescent="0.35">
      <c r="A214" s="14">
        <v>22</v>
      </c>
      <c r="B214" s="14" t="s">
        <v>105</v>
      </c>
      <c r="C214" s="14" t="s">
        <v>102</v>
      </c>
      <c r="D214" s="14" t="s">
        <v>36</v>
      </c>
      <c r="E214" s="24" t="str">
        <f>Testdaten!$B$14</f>
        <v>Max Mustermann</v>
      </c>
      <c r="F214" s="18"/>
      <c r="G214" s="18"/>
      <c r="H214" s="18"/>
      <c r="I214" s="18"/>
    </row>
    <row r="215" spans="1:9" x14ac:dyDescent="0.35">
      <c r="A215" s="14">
        <v>22</v>
      </c>
      <c r="B215" s="14" t="s">
        <v>105</v>
      </c>
      <c r="C215" s="14" t="s">
        <v>102</v>
      </c>
      <c r="D215" s="14" t="s">
        <v>38</v>
      </c>
      <c r="E215" s="24" t="str">
        <f>Testdaten!$B$15</f>
        <v>+49 171 1234567</v>
      </c>
      <c r="F215" s="18"/>
      <c r="G215" s="18"/>
      <c r="H215" s="18"/>
      <c r="I215" s="18"/>
    </row>
    <row r="216" spans="1:9" x14ac:dyDescent="0.35">
      <c r="A216" s="14">
        <v>22</v>
      </c>
      <c r="B216" s="14" t="s">
        <v>105</v>
      </c>
      <c r="C216" s="14" t="s">
        <v>102</v>
      </c>
      <c r="D216" s="14" t="s">
        <v>40</v>
      </c>
      <c r="E216" s="24" t="str">
        <f>Testdaten!$B$16</f>
        <v>Erika Musterfrau</v>
      </c>
      <c r="F216" s="18"/>
      <c r="G216" s="18"/>
      <c r="H216" s="18"/>
      <c r="I216" s="18"/>
    </row>
    <row r="217" spans="1:9" x14ac:dyDescent="0.35">
      <c r="A217" s="14">
        <v>22</v>
      </c>
      <c r="B217" s="14" t="s">
        <v>105</v>
      </c>
      <c r="C217" s="14" t="s">
        <v>102</v>
      </c>
      <c r="D217" s="14" t="s">
        <v>42</v>
      </c>
      <c r="E217" s="24" t="str">
        <f>Testdaten!$B$17</f>
        <v>+49 160 7654321</v>
      </c>
      <c r="F217" s="18"/>
      <c r="G217" s="18"/>
      <c r="H217" s="18"/>
      <c r="I217" s="18"/>
    </row>
    <row r="218" spans="1:9" x14ac:dyDescent="0.35">
      <c r="A218" s="14">
        <v>22</v>
      </c>
      <c r="B218" s="14" t="s">
        <v>105</v>
      </c>
      <c r="C218" s="14" t="s">
        <v>102</v>
      </c>
      <c r="D218" s="14" t="s">
        <v>44</v>
      </c>
      <c r="E218" s="24" t="str">
        <f>Testdaten!$B$18</f>
        <v>ASI Abschaltung</v>
      </c>
      <c r="F218" s="18"/>
      <c r="G218" s="18"/>
      <c r="H218" s="18"/>
      <c r="I218" s="18"/>
    </row>
    <row r="219" spans="1:9" x14ac:dyDescent="0.35">
      <c r="A219" s="14">
        <v>22</v>
      </c>
      <c r="B219" s="14" t="s">
        <v>105</v>
      </c>
      <c r="C219" s="14" t="s">
        <v>102</v>
      </c>
      <c r="D219" s="14" t="s">
        <v>50</v>
      </c>
      <c r="E219" s="16">
        <f>Testdaten!$B$29</f>
        <v>46343.333333333336</v>
      </c>
      <c r="F219" s="18"/>
      <c r="G219" s="18"/>
      <c r="H219" s="18"/>
      <c r="I219" s="18"/>
    </row>
    <row r="220" spans="1:9" x14ac:dyDescent="0.35">
      <c r="A220" s="14">
        <v>22</v>
      </c>
      <c r="B220" s="14" t="s">
        <v>105</v>
      </c>
      <c r="C220" s="14" t="s">
        <v>102</v>
      </c>
      <c r="D220" s="14" t="s">
        <v>51</v>
      </c>
      <c r="E220" s="16">
        <f>Testdaten!$C$29</f>
        <v>46345.375</v>
      </c>
      <c r="F220" s="18"/>
      <c r="G220" s="18"/>
      <c r="H220" s="18"/>
      <c r="I220" s="18"/>
    </row>
    <row r="221" spans="1:9" x14ac:dyDescent="0.35">
      <c r="A221" s="14">
        <v>22</v>
      </c>
      <c r="B221" s="14" t="s">
        <v>105</v>
      </c>
      <c r="C221" s="14" t="s">
        <v>102</v>
      </c>
      <c r="D221" s="14" t="s">
        <v>119</v>
      </c>
      <c r="E221" s="24" t="s">
        <v>120</v>
      </c>
      <c r="F221" s="18"/>
      <c r="G221" s="18"/>
      <c r="H221" s="18"/>
      <c r="I221" s="18"/>
    </row>
    <row r="222" spans="1:9" x14ac:dyDescent="0.35">
      <c r="A222" s="14">
        <v>23</v>
      </c>
      <c r="B222" s="14" t="s">
        <v>67</v>
      </c>
      <c r="C222" s="14" t="s">
        <v>102</v>
      </c>
      <c r="D222" s="14" t="s">
        <v>118</v>
      </c>
      <c r="E222" s="24">
        <f>Testdaten!$B$7</f>
        <v>120990686</v>
      </c>
      <c r="F222" s="18"/>
      <c r="G222" s="18"/>
      <c r="H222" s="18"/>
      <c r="I222" s="18"/>
    </row>
    <row r="223" spans="1:9" x14ac:dyDescent="0.35">
      <c r="A223" s="14">
        <v>23</v>
      </c>
      <c r="B223" s="14" t="s">
        <v>67</v>
      </c>
      <c r="C223" s="14" t="s">
        <v>102</v>
      </c>
      <c r="D223" s="14" t="s">
        <v>32</v>
      </c>
      <c r="E223" s="24" t="str">
        <f>Testdaten!$B$12</f>
        <v>Vodafone / Vantage</v>
      </c>
      <c r="F223" s="18"/>
      <c r="G223" s="18"/>
      <c r="H223" s="18"/>
      <c r="I223" s="18"/>
    </row>
    <row r="224" spans="1:9" x14ac:dyDescent="0.35">
      <c r="A224" s="14">
        <v>23</v>
      </c>
      <c r="B224" s="14" t="s">
        <v>67</v>
      </c>
      <c r="C224" s="14" t="s">
        <v>102</v>
      </c>
      <c r="D224" s="14" t="s">
        <v>36</v>
      </c>
      <c r="E224" s="24" t="str">
        <f>Testdaten!$B$14</f>
        <v>Max Mustermann</v>
      </c>
      <c r="F224" s="18"/>
      <c r="G224" s="18"/>
      <c r="H224" s="18"/>
      <c r="I224" s="18"/>
    </row>
    <row r="225" spans="1:9" x14ac:dyDescent="0.35">
      <c r="A225" s="14">
        <v>23</v>
      </c>
      <c r="B225" s="14" t="s">
        <v>67</v>
      </c>
      <c r="C225" s="14" t="s">
        <v>102</v>
      </c>
      <c r="D225" s="14" t="s">
        <v>38</v>
      </c>
      <c r="E225" s="24" t="str">
        <f>Testdaten!$B$15</f>
        <v>+49 171 1234567</v>
      </c>
      <c r="F225" s="18"/>
      <c r="G225" s="18"/>
      <c r="H225" s="18"/>
      <c r="I225" s="18"/>
    </row>
    <row r="226" spans="1:9" x14ac:dyDescent="0.35">
      <c r="A226" s="14">
        <v>23</v>
      </c>
      <c r="B226" s="14" t="s">
        <v>67</v>
      </c>
      <c r="C226" s="14" t="s">
        <v>102</v>
      </c>
      <c r="D226" s="14" t="s">
        <v>40</v>
      </c>
      <c r="E226" s="24" t="str">
        <f>Testdaten!$B$16</f>
        <v>Erika Musterfrau</v>
      </c>
      <c r="F226" s="18"/>
      <c r="G226" s="18"/>
      <c r="H226" s="18"/>
      <c r="I226" s="18"/>
    </row>
    <row r="227" spans="1:9" x14ac:dyDescent="0.35">
      <c r="A227" s="14">
        <v>23</v>
      </c>
      <c r="B227" s="14" t="s">
        <v>67</v>
      </c>
      <c r="C227" s="14" t="s">
        <v>102</v>
      </c>
      <c r="D227" s="14" t="s">
        <v>42</v>
      </c>
      <c r="E227" s="24" t="str">
        <f>Testdaten!$B$17</f>
        <v>+49 160 7654321</v>
      </c>
      <c r="F227" s="18"/>
      <c r="G227" s="18"/>
      <c r="H227" s="18"/>
      <c r="I227" s="18"/>
    </row>
    <row r="228" spans="1:9" x14ac:dyDescent="0.35">
      <c r="A228" s="14">
        <v>23</v>
      </c>
      <c r="B228" s="14" t="s">
        <v>67</v>
      </c>
      <c r="C228" s="14" t="s">
        <v>102</v>
      </c>
      <c r="D228" s="14" t="s">
        <v>44</v>
      </c>
      <c r="E228" s="24" t="str">
        <f>Testdaten!$B$18</f>
        <v>ASI Abschaltung</v>
      </c>
      <c r="F228" s="18"/>
      <c r="G228" s="18"/>
      <c r="H228" s="18"/>
      <c r="I228" s="18"/>
    </row>
    <row r="229" spans="1:9" x14ac:dyDescent="0.35">
      <c r="A229" s="14">
        <v>23</v>
      </c>
      <c r="B229" s="14" t="s">
        <v>67</v>
      </c>
      <c r="C229" s="14" t="s">
        <v>102</v>
      </c>
      <c r="D229" s="14" t="s">
        <v>50</v>
      </c>
      <c r="E229" s="16">
        <f>Testdaten!$B$30</f>
        <v>46335.333333333336</v>
      </c>
      <c r="F229" s="18"/>
      <c r="G229" s="18"/>
      <c r="H229" s="18"/>
      <c r="I229" s="18"/>
    </row>
    <row r="230" spans="1:9" x14ac:dyDescent="0.35">
      <c r="A230" s="14">
        <v>23</v>
      </c>
      <c r="B230" s="14" t="s">
        <v>67</v>
      </c>
      <c r="C230" s="14" t="s">
        <v>102</v>
      </c>
      <c r="D230" s="14" t="s">
        <v>51</v>
      </c>
      <c r="E230" s="16">
        <f>Testdaten!$C$30</f>
        <v>46344.708333333336</v>
      </c>
      <c r="F230" s="18"/>
      <c r="G230" s="18"/>
      <c r="H230" s="18"/>
      <c r="I230" s="18"/>
    </row>
    <row r="231" spans="1:9" x14ac:dyDescent="0.35">
      <c r="A231" s="14">
        <v>23</v>
      </c>
      <c r="B231" s="14" t="s">
        <v>67</v>
      </c>
      <c r="C231" s="14" t="s">
        <v>102</v>
      </c>
      <c r="D231" s="14" t="s">
        <v>119</v>
      </c>
      <c r="E231" s="24" t="str">
        <f>Testdaten!$B$32</f>
        <v>Austausch der gesamten Antennenanlage, Kran nur in diesem Zeitraum verfügbar</v>
      </c>
      <c r="F231" s="18"/>
      <c r="G231" s="18"/>
      <c r="H231" s="18"/>
      <c r="I231" s="18"/>
    </row>
    <row r="232" spans="1:9" x14ac:dyDescent="0.35">
      <c r="A232" s="14">
        <v>24</v>
      </c>
      <c r="B232" s="14" t="s">
        <v>67</v>
      </c>
      <c r="C232" s="14" t="s">
        <v>103</v>
      </c>
      <c r="D232" s="14" t="s">
        <v>118</v>
      </c>
      <c r="E232" s="24">
        <f>Testdaten!$B$7</f>
        <v>120990686</v>
      </c>
      <c r="F232" s="18"/>
      <c r="G232" s="18"/>
      <c r="H232" s="18"/>
      <c r="I232" s="18"/>
    </row>
    <row r="233" spans="1:9" x14ac:dyDescent="0.35">
      <c r="A233" s="14">
        <v>24</v>
      </c>
      <c r="B233" s="14" t="s">
        <v>67</v>
      </c>
      <c r="C233" s="14" t="s">
        <v>103</v>
      </c>
      <c r="D233" s="14" t="s">
        <v>32</v>
      </c>
      <c r="E233" s="24" t="str">
        <f>Testdaten!$B$12</f>
        <v>Vodafone / Vantage</v>
      </c>
      <c r="F233" s="18"/>
      <c r="G233" s="18"/>
      <c r="H233" s="18"/>
      <c r="I233" s="18"/>
    </row>
    <row r="234" spans="1:9" x14ac:dyDescent="0.35">
      <c r="A234" s="14">
        <v>24</v>
      </c>
      <c r="B234" s="14" t="s">
        <v>67</v>
      </c>
      <c r="C234" s="14" t="s">
        <v>103</v>
      </c>
      <c r="D234" s="14" t="s">
        <v>36</v>
      </c>
      <c r="E234" s="24" t="str">
        <f>Testdaten!$B$14</f>
        <v>Max Mustermann</v>
      </c>
      <c r="F234" s="18"/>
      <c r="G234" s="18"/>
      <c r="H234" s="18"/>
      <c r="I234" s="18"/>
    </row>
    <row r="235" spans="1:9" x14ac:dyDescent="0.35">
      <c r="A235" s="14">
        <v>24</v>
      </c>
      <c r="B235" s="14" t="s">
        <v>67</v>
      </c>
      <c r="C235" s="14" t="s">
        <v>103</v>
      </c>
      <c r="D235" s="14" t="s">
        <v>38</v>
      </c>
      <c r="E235" s="24" t="str">
        <f>Testdaten!$B$15</f>
        <v>+49 171 1234567</v>
      </c>
      <c r="F235" s="18"/>
      <c r="G235" s="18"/>
      <c r="H235" s="18"/>
      <c r="I235" s="18"/>
    </row>
    <row r="236" spans="1:9" x14ac:dyDescent="0.35">
      <c r="A236" s="14">
        <v>24</v>
      </c>
      <c r="B236" s="14" t="s">
        <v>67</v>
      </c>
      <c r="C236" s="14" t="s">
        <v>103</v>
      </c>
      <c r="D236" s="14" t="s">
        <v>40</v>
      </c>
      <c r="E236" s="24" t="str">
        <f>Testdaten!$B$16</f>
        <v>Erika Musterfrau</v>
      </c>
      <c r="F236" s="18"/>
      <c r="G236" s="18"/>
      <c r="H236" s="18"/>
      <c r="I236" s="18"/>
    </row>
    <row r="237" spans="1:9" x14ac:dyDescent="0.35">
      <c r="A237" s="14">
        <v>24</v>
      </c>
      <c r="B237" s="14" t="s">
        <v>67</v>
      </c>
      <c r="C237" s="14" t="s">
        <v>103</v>
      </c>
      <c r="D237" s="14" t="s">
        <v>42</v>
      </c>
      <c r="E237" s="24" t="str">
        <f>Testdaten!$B$17</f>
        <v>+49 160 7654321</v>
      </c>
      <c r="F237" s="18"/>
      <c r="G237" s="18"/>
      <c r="H237" s="18"/>
      <c r="I237" s="18"/>
    </row>
    <row r="238" spans="1:9" x14ac:dyDescent="0.35">
      <c r="A238" s="14">
        <v>24</v>
      </c>
      <c r="B238" s="14" t="s">
        <v>67</v>
      </c>
      <c r="C238" s="14" t="s">
        <v>103</v>
      </c>
      <c r="D238" s="14" t="s">
        <v>44</v>
      </c>
      <c r="E238" s="24" t="str">
        <f>Testdaten!$B$18</f>
        <v>ASI Abschaltung</v>
      </c>
      <c r="F238" s="18"/>
      <c r="G238" s="18"/>
      <c r="H238" s="18"/>
      <c r="I238" s="18"/>
    </row>
    <row r="239" spans="1:9" x14ac:dyDescent="0.35">
      <c r="A239" s="14">
        <v>24</v>
      </c>
      <c r="B239" s="14" t="s">
        <v>67</v>
      </c>
      <c r="C239" s="14" t="s">
        <v>103</v>
      </c>
      <c r="D239" s="14" t="s">
        <v>50</v>
      </c>
      <c r="E239" s="16">
        <f>Testdaten!$B$30</f>
        <v>46335.333333333336</v>
      </c>
      <c r="F239" s="18"/>
      <c r="G239" s="18"/>
      <c r="H239" s="18"/>
      <c r="I239" s="18"/>
    </row>
    <row r="240" spans="1:9" x14ac:dyDescent="0.35">
      <c r="A240" s="14">
        <v>24</v>
      </c>
      <c r="B240" s="14" t="s">
        <v>67</v>
      </c>
      <c r="C240" s="14" t="s">
        <v>103</v>
      </c>
      <c r="D240" s="14" t="s">
        <v>51</v>
      </c>
      <c r="E240" s="16">
        <f>Testdaten!$C$30</f>
        <v>46344.708333333336</v>
      </c>
      <c r="F240" s="18"/>
      <c r="G240" s="18"/>
      <c r="H240" s="18"/>
      <c r="I240" s="18"/>
    </row>
    <row r="241" spans="1:9" x14ac:dyDescent="0.35">
      <c r="A241" s="14">
        <v>24</v>
      </c>
      <c r="B241" s="14" t="s">
        <v>67</v>
      </c>
      <c r="C241" s="14" t="s">
        <v>103</v>
      </c>
      <c r="D241" s="14" t="s">
        <v>119</v>
      </c>
      <c r="E241" s="24" t="str">
        <f>Testdaten!$B$32</f>
        <v>Austausch der gesamten Antennenanlage, Kran nur in diesem Zeitraum verfügbar</v>
      </c>
      <c r="F241" s="18"/>
      <c r="G241" s="18"/>
      <c r="H241" s="18"/>
      <c r="I241" s="18"/>
    </row>
  </sheetData>
  <dataValidations count="2">
    <dataValidation type="list" allowBlank="1" error="Bitte einen Wert aus der Liste wählen." sqref="G2:G241" xr:uid="{00000000-0002-0000-0400-000000000000}">
      <formula1>"ja,nein"</formula1>
    </dataValidation>
    <dataValidation type="list" allowBlank="1" error="Bitte einen Wert aus der Liste wählen." sqref="H2:H241" xr:uid="{00000000-0002-0000-0400-000001000000}">
      <formula1>"ja,nein,–"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1"/>
  <sheetViews>
    <sheetView workbookViewId="0">
      <pane ySplit="1" topLeftCell="A2" activePane="bottomLeft" state="frozen"/>
      <selection pane="bottomLeft"/>
    </sheetView>
  </sheetViews>
  <sheetFormatPr baseColWidth="10" defaultColWidth="8.7265625" defaultRowHeight="14.5" x14ac:dyDescent="0.35"/>
  <cols>
    <col min="1" max="1" width="8" customWidth="1"/>
    <col min="2" max="2" width="7" customWidth="1"/>
    <col min="3" max="3" width="5" customWidth="1"/>
    <col min="4" max="4" width="70" customWidth="1"/>
    <col min="5" max="6" width="10" customWidth="1"/>
    <col min="7" max="7" width="45" customWidth="1"/>
  </cols>
  <sheetData>
    <row r="1" spans="1:7" ht="32" customHeight="1" x14ac:dyDescent="0.35">
      <c r="A1" s="17" t="s">
        <v>121</v>
      </c>
      <c r="B1" s="17" t="s">
        <v>122</v>
      </c>
      <c r="C1" s="17" t="s">
        <v>71</v>
      </c>
      <c r="D1" s="17" t="s">
        <v>123</v>
      </c>
      <c r="E1" s="17" t="s">
        <v>124</v>
      </c>
      <c r="F1" s="17" t="s">
        <v>125</v>
      </c>
      <c r="G1" s="17" t="s">
        <v>126</v>
      </c>
    </row>
    <row r="2" spans="1:7" x14ac:dyDescent="0.35">
      <c r="A2" s="18" t="s">
        <v>127</v>
      </c>
      <c r="B2" s="18"/>
      <c r="C2" s="14">
        <v>1</v>
      </c>
      <c r="D2" s="25" t="s">
        <v>128</v>
      </c>
      <c r="E2" s="18"/>
      <c r="F2" s="18"/>
      <c r="G2" s="18"/>
    </row>
    <row r="3" spans="1:7" x14ac:dyDescent="0.35">
      <c r="A3" s="18" t="s">
        <v>127</v>
      </c>
      <c r="B3" s="18"/>
      <c r="C3" s="14">
        <v>2</v>
      </c>
      <c r="D3" s="25" t="s">
        <v>129</v>
      </c>
      <c r="E3" s="18"/>
      <c r="F3" s="18"/>
      <c r="G3" s="18"/>
    </row>
    <row r="4" spans="1:7" x14ac:dyDescent="0.35">
      <c r="A4" s="18" t="s">
        <v>127</v>
      </c>
      <c r="B4" s="18"/>
      <c r="C4" s="14">
        <v>3</v>
      </c>
      <c r="D4" s="25" t="s">
        <v>130</v>
      </c>
      <c r="E4" s="18"/>
      <c r="F4" s="18"/>
      <c r="G4" s="18"/>
    </row>
    <row r="5" spans="1:7" x14ac:dyDescent="0.35">
      <c r="A5" s="18" t="s">
        <v>127</v>
      </c>
      <c r="B5" s="18"/>
      <c r="C5" s="14">
        <v>4</v>
      </c>
      <c r="D5" s="25" t="s">
        <v>131</v>
      </c>
      <c r="E5" s="18"/>
      <c r="F5" s="18"/>
      <c r="G5" s="18"/>
    </row>
    <row r="6" spans="1:7" x14ac:dyDescent="0.35">
      <c r="A6" s="18" t="s">
        <v>127</v>
      </c>
      <c r="B6" s="18"/>
      <c r="C6" s="14">
        <v>5</v>
      </c>
      <c r="D6" s="25" t="s">
        <v>132</v>
      </c>
      <c r="E6" s="18"/>
      <c r="F6" s="18"/>
      <c r="G6" s="18"/>
    </row>
    <row r="7" spans="1:7" x14ac:dyDescent="0.35">
      <c r="A7" s="18" t="s">
        <v>127</v>
      </c>
      <c r="B7" s="18"/>
      <c r="C7" s="14">
        <v>6</v>
      </c>
      <c r="D7" s="25" t="s">
        <v>133</v>
      </c>
      <c r="E7" s="18"/>
      <c r="F7" s="18"/>
      <c r="G7" s="18"/>
    </row>
    <row r="8" spans="1:7" x14ac:dyDescent="0.35">
      <c r="A8" s="18" t="s">
        <v>127</v>
      </c>
      <c r="B8" s="18"/>
      <c r="C8" s="14">
        <v>7</v>
      </c>
      <c r="D8" s="25" t="s">
        <v>134</v>
      </c>
      <c r="E8" s="18"/>
      <c r="F8" s="18"/>
      <c r="G8" s="18"/>
    </row>
    <row r="9" spans="1:7" x14ac:dyDescent="0.35">
      <c r="A9" s="18" t="s">
        <v>127</v>
      </c>
      <c r="B9" s="18"/>
      <c r="C9" s="14">
        <v>8</v>
      </c>
      <c r="D9" s="25" t="s">
        <v>135</v>
      </c>
      <c r="E9" s="14" t="s">
        <v>120</v>
      </c>
      <c r="F9" s="14" t="s">
        <v>120</v>
      </c>
      <c r="G9" s="18"/>
    </row>
    <row r="10" spans="1:7" x14ac:dyDescent="0.35">
      <c r="A10" s="18" t="s">
        <v>136</v>
      </c>
      <c r="B10" s="18"/>
      <c r="C10" s="14">
        <v>1</v>
      </c>
      <c r="D10" s="25" t="s">
        <v>128</v>
      </c>
      <c r="E10" s="18"/>
      <c r="F10" s="18"/>
      <c r="G10" s="18"/>
    </row>
    <row r="11" spans="1:7" x14ac:dyDescent="0.35">
      <c r="A11" s="18" t="s">
        <v>136</v>
      </c>
      <c r="B11" s="18"/>
      <c r="C11" s="14">
        <v>2</v>
      </c>
      <c r="D11" s="25" t="s">
        <v>129</v>
      </c>
      <c r="E11" s="18"/>
      <c r="F11" s="18"/>
      <c r="G11" s="18"/>
    </row>
    <row r="12" spans="1:7" x14ac:dyDescent="0.35">
      <c r="A12" s="18" t="s">
        <v>136</v>
      </c>
      <c r="B12" s="18"/>
      <c r="C12" s="14">
        <v>3</v>
      </c>
      <c r="D12" s="25" t="s">
        <v>130</v>
      </c>
      <c r="E12" s="18"/>
      <c r="F12" s="18"/>
      <c r="G12" s="18"/>
    </row>
    <row r="13" spans="1:7" x14ac:dyDescent="0.35">
      <c r="A13" s="18" t="s">
        <v>136</v>
      </c>
      <c r="B13" s="18"/>
      <c r="C13" s="14">
        <v>4</v>
      </c>
      <c r="D13" s="25" t="s">
        <v>131</v>
      </c>
      <c r="E13" s="18"/>
      <c r="F13" s="18"/>
      <c r="G13" s="18"/>
    </row>
    <row r="14" spans="1:7" x14ac:dyDescent="0.35">
      <c r="A14" s="18" t="s">
        <v>136</v>
      </c>
      <c r="B14" s="18"/>
      <c r="C14" s="14">
        <v>5</v>
      </c>
      <c r="D14" s="25" t="s">
        <v>132</v>
      </c>
      <c r="E14" s="18"/>
      <c r="F14" s="18"/>
      <c r="G14" s="18"/>
    </row>
    <row r="15" spans="1:7" x14ac:dyDescent="0.35">
      <c r="A15" s="18" t="s">
        <v>136</v>
      </c>
      <c r="B15" s="18"/>
      <c r="C15" s="14">
        <v>6</v>
      </c>
      <c r="D15" s="25" t="s">
        <v>133</v>
      </c>
      <c r="E15" s="18"/>
      <c r="F15" s="18"/>
      <c r="G15" s="18"/>
    </row>
    <row r="16" spans="1:7" x14ac:dyDescent="0.35">
      <c r="A16" s="18" t="s">
        <v>136</v>
      </c>
      <c r="B16" s="18"/>
      <c r="C16" s="14">
        <v>7</v>
      </c>
      <c r="D16" s="25" t="s">
        <v>134</v>
      </c>
      <c r="E16" s="18"/>
      <c r="F16" s="18"/>
      <c r="G16" s="18"/>
    </row>
    <row r="17" spans="1:7" x14ac:dyDescent="0.35">
      <c r="A17" s="18" t="s">
        <v>136</v>
      </c>
      <c r="B17" s="18"/>
      <c r="C17" s="14">
        <v>8</v>
      </c>
      <c r="D17" s="25" t="s">
        <v>135</v>
      </c>
      <c r="E17" s="14" t="s">
        <v>120</v>
      </c>
      <c r="F17" s="14" t="s">
        <v>120</v>
      </c>
      <c r="G17" s="18"/>
    </row>
    <row r="18" spans="1:7" x14ac:dyDescent="0.35">
      <c r="A18" s="18" t="s">
        <v>137</v>
      </c>
      <c r="B18" s="18"/>
      <c r="C18" s="14">
        <v>1</v>
      </c>
      <c r="D18" s="25" t="s">
        <v>128</v>
      </c>
      <c r="E18" s="18"/>
      <c r="F18" s="18"/>
      <c r="G18" s="18"/>
    </row>
    <row r="19" spans="1:7" x14ac:dyDescent="0.35">
      <c r="A19" s="18" t="s">
        <v>137</v>
      </c>
      <c r="B19" s="18"/>
      <c r="C19" s="14">
        <v>2</v>
      </c>
      <c r="D19" s="25" t="s">
        <v>129</v>
      </c>
      <c r="E19" s="18"/>
      <c r="F19" s="18"/>
      <c r="G19" s="18"/>
    </row>
    <row r="20" spans="1:7" x14ac:dyDescent="0.35">
      <c r="A20" s="18" t="s">
        <v>137</v>
      </c>
      <c r="B20" s="18"/>
      <c r="C20" s="14">
        <v>3</v>
      </c>
      <c r="D20" s="25" t="s">
        <v>130</v>
      </c>
      <c r="E20" s="18"/>
      <c r="F20" s="18"/>
      <c r="G20" s="18"/>
    </row>
    <row r="21" spans="1:7" x14ac:dyDescent="0.35">
      <c r="A21" s="18" t="s">
        <v>137</v>
      </c>
      <c r="B21" s="18"/>
      <c r="C21" s="14">
        <v>4</v>
      </c>
      <c r="D21" s="25" t="s">
        <v>131</v>
      </c>
      <c r="E21" s="18"/>
      <c r="F21" s="18"/>
      <c r="G21" s="18"/>
    </row>
    <row r="22" spans="1:7" x14ac:dyDescent="0.35">
      <c r="A22" s="18" t="s">
        <v>137</v>
      </c>
      <c r="B22" s="18"/>
      <c r="C22" s="14">
        <v>5</v>
      </c>
      <c r="D22" s="25" t="s">
        <v>132</v>
      </c>
      <c r="E22" s="18"/>
      <c r="F22" s="18"/>
      <c r="G22" s="18"/>
    </row>
    <row r="23" spans="1:7" x14ac:dyDescent="0.35">
      <c r="A23" s="18" t="s">
        <v>137</v>
      </c>
      <c r="B23" s="18"/>
      <c r="C23" s="14">
        <v>6</v>
      </c>
      <c r="D23" s="25" t="s">
        <v>133</v>
      </c>
      <c r="E23" s="18"/>
      <c r="F23" s="18"/>
      <c r="G23" s="18"/>
    </row>
    <row r="24" spans="1:7" x14ac:dyDescent="0.35">
      <c r="A24" s="18" t="s">
        <v>137</v>
      </c>
      <c r="B24" s="18"/>
      <c r="C24" s="14">
        <v>7</v>
      </c>
      <c r="D24" s="25" t="s">
        <v>134</v>
      </c>
      <c r="E24" s="18"/>
      <c r="F24" s="18"/>
      <c r="G24" s="18"/>
    </row>
    <row r="25" spans="1:7" x14ac:dyDescent="0.35">
      <c r="A25" s="18" t="s">
        <v>137</v>
      </c>
      <c r="B25" s="18"/>
      <c r="C25" s="14">
        <v>8</v>
      </c>
      <c r="D25" s="25" t="s">
        <v>135</v>
      </c>
      <c r="E25" s="14" t="s">
        <v>120</v>
      </c>
      <c r="F25" s="14" t="s">
        <v>120</v>
      </c>
      <c r="G25" s="18"/>
    </row>
    <row r="26" spans="1:7" x14ac:dyDescent="0.35">
      <c r="A26" s="18" t="s">
        <v>138</v>
      </c>
      <c r="B26" s="18"/>
      <c r="C26" s="14">
        <v>1</v>
      </c>
      <c r="D26" s="25" t="s">
        <v>128</v>
      </c>
      <c r="E26" s="18"/>
      <c r="F26" s="18"/>
      <c r="G26" s="18"/>
    </row>
    <row r="27" spans="1:7" x14ac:dyDescent="0.35">
      <c r="A27" s="18" t="s">
        <v>138</v>
      </c>
      <c r="B27" s="18"/>
      <c r="C27" s="14">
        <v>2</v>
      </c>
      <c r="D27" s="25" t="s">
        <v>129</v>
      </c>
      <c r="E27" s="18"/>
      <c r="F27" s="18"/>
      <c r="G27" s="18"/>
    </row>
    <row r="28" spans="1:7" x14ac:dyDescent="0.35">
      <c r="A28" s="18" t="s">
        <v>138</v>
      </c>
      <c r="B28" s="18"/>
      <c r="C28" s="14">
        <v>3</v>
      </c>
      <c r="D28" s="25" t="s">
        <v>130</v>
      </c>
      <c r="E28" s="18"/>
      <c r="F28" s="18"/>
      <c r="G28" s="18"/>
    </row>
    <row r="29" spans="1:7" x14ac:dyDescent="0.35">
      <c r="A29" s="18" t="s">
        <v>138</v>
      </c>
      <c r="B29" s="18"/>
      <c r="C29" s="14">
        <v>4</v>
      </c>
      <c r="D29" s="25" t="s">
        <v>131</v>
      </c>
      <c r="E29" s="18"/>
      <c r="F29" s="18"/>
      <c r="G29" s="18"/>
    </row>
    <row r="30" spans="1:7" x14ac:dyDescent="0.35">
      <c r="A30" s="18" t="s">
        <v>138</v>
      </c>
      <c r="B30" s="18"/>
      <c r="C30" s="14">
        <v>5</v>
      </c>
      <c r="D30" s="25" t="s">
        <v>132</v>
      </c>
      <c r="E30" s="18"/>
      <c r="F30" s="18"/>
      <c r="G30" s="18"/>
    </row>
    <row r="31" spans="1:7" x14ac:dyDescent="0.35">
      <c r="A31" s="18" t="s">
        <v>138</v>
      </c>
      <c r="B31" s="18"/>
      <c r="C31" s="14">
        <v>6</v>
      </c>
      <c r="D31" s="25" t="s">
        <v>133</v>
      </c>
      <c r="E31" s="18"/>
      <c r="F31" s="18"/>
      <c r="G31" s="18"/>
    </row>
    <row r="32" spans="1:7" x14ac:dyDescent="0.35">
      <c r="A32" s="18" t="s">
        <v>138</v>
      </c>
      <c r="B32" s="18"/>
      <c r="C32" s="14">
        <v>7</v>
      </c>
      <c r="D32" s="25" t="s">
        <v>134</v>
      </c>
      <c r="E32" s="18"/>
      <c r="F32" s="18"/>
      <c r="G32" s="18"/>
    </row>
    <row r="33" spans="1:7" x14ac:dyDescent="0.35">
      <c r="A33" s="18" t="s">
        <v>138</v>
      </c>
      <c r="B33" s="18"/>
      <c r="C33" s="14">
        <v>8</v>
      </c>
      <c r="D33" s="25" t="s">
        <v>135</v>
      </c>
      <c r="E33" s="14" t="s">
        <v>120</v>
      </c>
      <c r="F33" s="14" t="s">
        <v>120</v>
      </c>
      <c r="G33" s="18"/>
    </row>
    <row r="34" spans="1:7" x14ac:dyDescent="0.35">
      <c r="A34" s="18" t="s">
        <v>139</v>
      </c>
      <c r="B34" s="18"/>
      <c r="C34" s="14">
        <v>1</v>
      </c>
      <c r="D34" s="25" t="s">
        <v>128</v>
      </c>
      <c r="E34" s="18"/>
      <c r="F34" s="18"/>
      <c r="G34" s="18"/>
    </row>
    <row r="35" spans="1:7" x14ac:dyDescent="0.35">
      <c r="A35" s="18" t="s">
        <v>139</v>
      </c>
      <c r="B35" s="18"/>
      <c r="C35" s="14">
        <v>2</v>
      </c>
      <c r="D35" s="25" t="s">
        <v>129</v>
      </c>
      <c r="E35" s="18"/>
      <c r="F35" s="18"/>
      <c r="G35" s="18"/>
    </row>
    <row r="36" spans="1:7" x14ac:dyDescent="0.35">
      <c r="A36" s="18" t="s">
        <v>139</v>
      </c>
      <c r="B36" s="18"/>
      <c r="C36" s="14">
        <v>3</v>
      </c>
      <c r="D36" s="25" t="s">
        <v>130</v>
      </c>
      <c r="E36" s="18"/>
      <c r="F36" s="18"/>
      <c r="G36" s="18"/>
    </row>
    <row r="37" spans="1:7" x14ac:dyDescent="0.35">
      <c r="A37" s="18" t="s">
        <v>139</v>
      </c>
      <c r="B37" s="18"/>
      <c r="C37" s="14">
        <v>4</v>
      </c>
      <c r="D37" s="25" t="s">
        <v>131</v>
      </c>
      <c r="E37" s="18"/>
      <c r="F37" s="18"/>
      <c r="G37" s="18"/>
    </row>
    <row r="38" spans="1:7" x14ac:dyDescent="0.35">
      <c r="A38" s="18" t="s">
        <v>139</v>
      </c>
      <c r="B38" s="18"/>
      <c r="C38" s="14">
        <v>5</v>
      </c>
      <c r="D38" s="25" t="s">
        <v>132</v>
      </c>
      <c r="E38" s="18"/>
      <c r="F38" s="18"/>
      <c r="G38" s="18"/>
    </row>
    <row r="39" spans="1:7" x14ac:dyDescent="0.35">
      <c r="A39" s="18" t="s">
        <v>139</v>
      </c>
      <c r="B39" s="18"/>
      <c r="C39" s="14">
        <v>6</v>
      </c>
      <c r="D39" s="25" t="s">
        <v>133</v>
      </c>
      <c r="E39" s="18"/>
      <c r="F39" s="18"/>
      <c r="G39" s="18"/>
    </row>
    <row r="40" spans="1:7" x14ac:dyDescent="0.35">
      <c r="A40" s="18" t="s">
        <v>139</v>
      </c>
      <c r="B40" s="18"/>
      <c r="C40" s="14">
        <v>7</v>
      </c>
      <c r="D40" s="25" t="s">
        <v>134</v>
      </c>
      <c r="E40" s="18"/>
      <c r="F40" s="18"/>
      <c r="G40" s="18"/>
    </row>
    <row r="41" spans="1:7" x14ac:dyDescent="0.35">
      <c r="A41" s="18" t="s">
        <v>139</v>
      </c>
      <c r="B41" s="18"/>
      <c r="C41" s="14">
        <v>8</v>
      </c>
      <c r="D41" s="25" t="s">
        <v>135</v>
      </c>
      <c r="E41" s="14" t="s">
        <v>120</v>
      </c>
      <c r="F41" s="14" t="s">
        <v>120</v>
      </c>
      <c r="G41" s="18"/>
    </row>
    <row r="42" spans="1:7" x14ac:dyDescent="0.35">
      <c r="A42" s="18" t="s">
        <v>140</v>
      </c>
      <c r="B42" s="18"/>
      <c r="C42" s="14">
        <v>1</v>
      </c>
      <c r="D42" s="25" t="s">
        <v>128</v>
      </c>
      <c r="E42" s="18"/>
      <c r="F42" s="18"/>
      <c r="G42" s="18"/>
    </row>
    <row r="43" spans="1:7" x14ac:dyDescent="0.35">
      <c r="A43" s="18" t="s">
        <v>140</v>
      </c>
      <c r="B43" s="18"/>
      <c r="C43" s="14">
        <v>2</v>
      </c>
      <c r="D43" s="25" t="s">
        <v>129</v>
      </c>
      <c r="E43" s="18"/>
      <c r="F43" s="18"/>
      <c r="G43" s="18"/>
    </row>
    <row r="44" spans="1:7" x14ac:dyDescent="0.35">
      <c r="A44" s="18" t="s">
        <v>140</v>
      </c>
      <c r="B44" s="18"/>
      <c r="C44" s="14">
        <v>3</v>
      </c>
      <c r="D44" s="25" t="s">
        <v>130</v>
      </c>
      <c r="E44" s="18"/>
      <c r="F44" s="18"/>
      <c r="G44" s="18"/>
    </row>
    <row r="45" spans="1:7" x14ac:dyDescent="0.35">
      <c r="A45" s="18" t="s">
        <v>140</v>
      </c>
      <c r="B45" s="18"/>
      <c r="C45" s="14">
        <v>4</v>
      </c>
      <c r="D45" s="25" t="s">
        <v>131</v>
      </c>
      <c r="E45" s="18"/>
      <c r="F45" s="18"/>
      <c r="G45" s="18"/>
    </row>
    <row r="46" spans="1:7" x14ac:dyDescent="0.35">
      <c r="A46" s="18" t="s">
        <v>140</v>
      </c>
      <c r="B46" s="18"/>
      <c r="C46" s="14">
        <v>5</v>
      </c>
      <c r="D46" s="25" t="s">
        <v>132</v>
      </c>
      <c r="E46" s="18"/>
      <c r="F46" s="18"/>
      <c r="G46" s="18"/>
    </row>
    <row r="47" spans="1:7" x14ac:dyDescent="0.35">
      <c r="A47" s="18" t="s">
        <v>140</v>
      </c>
      <c r="B47" s="18"/>
      <c r="C47" s="14">
        <v>6</v>
      </c>
      <c r="D47" s="25" t="s">
        <v>133</v>
      </c>
      <c r="E47" s="18"/>
      <c r="F47" s="18"/>
      <c r="G47" s="18"/>
    </row>
    <row r="48" spans="1:7" x14ac:dyDescent="0.35">
      <c r="A48" s="18" t="s">
        <v>140</v>
      </c>
      <c r="B48" s="18"/>
      <c r="C48" s="14">
        <v>7</v>
      </c>
      <c r="D48" s="25" t="s">
        <v>134</v>
      </c>
      <c r="E48" s="18"/>
      <c r="F48" s="18"/>
      <c r="G48" s="18"/>
    </row>
    <row r="49" spans="1:7" x14ac:dyDescent="0.35">
      <c r="A49" s="18" t="s">
        <v>140</v>
      </c>
      <c r="B49" s="18"/>
      <c r="C49" s="14">
        <v>8</v>
      </c>
      <c r="D49" s="25" t="s">
        <v>135</v>
      </c>
      <c r="E49" s="14" t="s">
        <v>120</v>
      </c>
      <c r="F49" s="14" t="s">
        <v>120</v>
      </c>
      <c r="G49" s="18"/>
    </row>
    <row r="51" spans="1:7" ht="40" customHeight="1" x14ac:dyDescent="0.35">
      <c r="D51" s="9" t="s">
        <v>141</v>
      </c>
    </row>
  </sheetData>
  <dataValidations count="2">
    <dataValidation type="list" allowBlank="1" error="Bitte einen Wert aus der Liste wählen." sqref="B2:B49" xr:uid="{00000000-0002-0000-0500-000000000000}">
      <formula1>"GU,CC"</formula1>
    </dataValidation>
    <dataValidation type="whole" allowBlank="1" error="Bitte eine ganze Zahl von 1 (trifft nicht zu) bis 5 (trifft voll zu)." sqref="E2:F49" xr:uid="{00000000-0002-0000-0500-000001000000}">
      <formula1>1</formula1>
      <formula2>5</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6"/>
  <sheetViews>
    <sheetView workbookViewId="0">
      <selection activeCell="B11" sqref="B11"/>
    </sheetView>
  </sheetViews>
  <sheetFormatPr baseColWidth="10" defaultColWidth="8.7265625" defaultRowHeight="14.5" x14ac:dyDescent="0.35"/>
  <cols>
    <col min="1" max="1" width="44" customWidth="1"/>
    <col min="2" max="2" width="14" customWidth="1"/>
    <col min="3" max="3" width="18" customWidth="1"/>
    <col min="4" max="5" width="16" customWidth="1"/>
    <col min="6" max="6" width="40" customWidth="1"/>
  </cols>
  <sheetData>
    <row r="1" spans="1:6" ht="18" x14ac:dyDescent="0.4">
      <c r="A1" s="1" t="s">
        <v>142</v>
      </c>
    </row>
    <row r="2" spans="1:6" x14ac:dyDescent="0.35">
      <c r="A2" s="12" t="s">
        <v>197</v>
      </c>
    </row>
    <row r="4" spans="1:6" x14ac:dyDescent="0.35">
      <c r="A4" s="13" t="s">
        <v>143</v>
      </c>
      <c r="B4" s="26"/>
      <c r="C4" s="26"/>
      <c r="D4" s="26"/>
      <c r="E4" s="26"/>
      <c r="F4" s="26"/>
    </row>
    <row r="5" spans="1:6" x14ac:dyDescent="0.35">
      <c r="A5" s="15" t="s">
        <v>144</v>
      </c>
      <c r="B5" s="15" t="s">
        <v>102</v>
      </c>
      <c r="C5" s="15" t="s">
        <v>145</v>
      </c>
      <c r="D5" s="15" t="s">
        <v>146</v>
      </c>
      <c r="E5" s="15" t="s">
        <v>147</v>
      </c>
    </row>
    <row r="6" spans="1:6" x14ac:dyDescent="0.35">
      <c r="A6" s="14" t="s">
        <v>148</v>
      </c>
      <c r="B6" s="20" t="str">
        <f>IFERROR(MEDIAN(Durchläufe!$Y$2:$Y$25),"–")</f>
        <v>–</v>
      </c>
      <c r="C6" s="20" t="str">
        <f>IFERROR(MEDIAN(Durchläufe!$Z$2:$Z$25),"–")</f>
        <v>–</v>
      </c>
      <c r="D6" s="20" t="str">
        <f>C6</f>
        <v>–</v>
      </c>
      <c r="E6" s="27" t="str">
        <f>IFERROR((C6-B6)/B6,"–")</f>
        <v>–</v>
      </c>
    </row>
    <row r="7" spans="1:6" x14ac:dyDescent="0.35">
      <c r="A7" s="14" t="s">
        <v>149</v>
      </c>
      <c r="B7" s="20" t="str">
        <f>IFERROR(MEDIAN(Durchläufe!$AA$2:$AA$25),"–")</f>
        <v>–</v>
      </c>
      <c r="C7" s="20" t="str">
        <f>IFERROR(MEDIAN(Durchläufe!$AB$2:$AB$25),"–")</f>
        <v>–</v>
      </c>
      <c r="D7" s="20" t="str">
        <f>C7</f>
        <v>–</v>
      </c>
      <c r="E7" s="27" t="str">
        <f>IFERROR((C7-B7)/B7,"–")</f>
        <v>–</v>
      </c>
    </row>
    <row r="8" spans="1:6" x14ac:dyDescent="0.35">
      <c r="A8" s="14" t="s">
        <v>150</v>
      </c>
      <c r="B8" s="20" t="str">
        <f>IFERROR(MEDIAN('Beobachtung TSM'!$G$2:$G$16),"–")</f>
        <v>–</v>
      </c>
      <c r="C8" s="20">
        <v>0</v>
      </c>
      <c r="D8" s="20" t="str">
        <f>B8</f>
        <v>–</v>
      </c>
      <c r="E8" s="27" t="str">
        <f>IFERROR((C8-B8)/B8,"–")</f>
        <v>–</v>
      </c>
      <c r="F8" s="12" t="s">
        <v>195</v>
      </c>
    </row>
    <row r="9" spans="1:6" x14ac:dyDescent="0.35">
      <c r="A9" s="7" t="s">
        <v>151</v>
      </c>
      <c r="B9" s="28" t="str">
        <f>IFERROR(MEDIAN(Durchläufe!$AC$2:$AC$25)+IF(ISNUMBER(B8),B8,0),"–")</f>
        <v>–</v>
      </c>
      <c r="C9" s="28" t="str">
        <f>IFERROR(MEDIAN(Durchläufe!$AD$2:$AD$25),"–")</f>
        <v>–</v>
      </c>
      <c r="D9" s="28" t="str">
        <f>IFERROR(C9+IF(ISNUMBER(D8),D8,0),"–")</f>
        <v>–</v>
      </c>
      <c r="E9" s="27" t="str">
        <f>IFERROR((C9-B9)/B9,"–")</f>
        <v>–</v>
      </c>
    </row>
    <row r="10" spans="1:6" x14ac:dyDescent="0.35">
      <c r="A10" s="14" t="s">
        <v>152</v>
      </c>
      <c r="B10" s="11">
        <f>COUNT(Durchläufe!$AC$2:$AC$25)</f>
        <v>0</v>
      </c>
      <c r="C10" s="11">
        <f>COUNT(Durchläufe!$AD$2:$AD$25)</f>
        <v>0</v>
      </c>
      <c r="D10" s="11">
        <f>COUNT('Beobachtung TSM'!$G$2:$G$16)</f>
        <v>0</v>
      </c>
      <c r="F10" t="s">
        <v>196</v>
      </c>
    </row>
    <row r="11" spans="1:6" x14ac:dyDescent="0.35">
      <c r="A11" s="14" t="s">
        <v>198</v>
      </c>
      <c r="B11" s="29" t="str">
        <f>IFERROR(COUNTIF('Beobachtung TSM'!$H$2:$H$16,"ja")/(COUNTIF('Beobachtung TSM'!$H$2:$H$16,"ja")+COUNTIF('Beobachtung TSM'!$H$2:$H$16,"nein")),"–")</f>
        <v>–</v>
      </c>
    </row>
    <row r="12" spans="1:6" x14ac:dyDescent="0.35">
      <c r="A12" s="13" t="s">
        <v>153</v>
      </c>
      <c r="B12" s="26"/>
      <c r="C12" s="26"/>
      <c r="D12" s="26"/>
      <c r="E12" s="26"/>
      <c r="F12" s="26"/>
    </row>
    <row r="13" spans="1:6" x14ac:dyDescent="0.35">
      <c r="A13" s="15"/>
      <c r="B13" s="15" t="s">
        <v>102</v>
      </c>
      <c r="C13" s="15" t="s">
        <v>103</v>
      </c>
    </row>
    <row r="14" spans="1:6" x14ac:dyDescent="0.35">
      <c r="A14" s="14" t="s">
        <v>154</v>
      </c>
      <c r="B14" s="29" t="str">
        <f>IFERROR(COUNTIFS(Durchläufe!$D$2:$D$25,"alt",Durchläufe!$T$2:$T$25,"ja")/(COUNTIFS(Durchläufe!$D$2:$D$25,"alt",Durchläufe!$T$2:$T$25,"ja")+COUNTIFS(Durchläufe!$D$2:$D$25,"alt",Durchläufe!$T$2:$T$25,"nein")),"–")</f>
        <v>–</v>
      </c>
      <c r="C14" s="29" t="str">
        <f>IFERROR(COUNTIFS(Durchläufe!$D$2:$D$25,"neu",Durchläufe!$T$2:$T$25,"ja")/(COUNTIFS(Durchläufe!$D$2:$D$25,"neu",Durchläufe!$T$2:$T$25,"ja")+COUNTIFS(Durchläufe!$D$2:$D$25,"neu",Durchläufe!$T$2:$T$25,"nein")),"–")</f>
        <v>–</v>
      </c>
    </row>
    <row r="16" spans="1:6" x14ac:dyDescent="0.35">
      <c r="A16" s="7" t="s">
        <v>155</v>
      </c>
    </row>
    <row r="17" spans="1:6" x14ac:dyDescent="0.35">
      <c r="A17" s="15" t="s">
        <v>156</v>
      </c>
      <c r="B17" s="15" t="s">
        <v>102</v>
      </c>
      <c r="C17" s="15" t="s">
        <v>103</v>
      </c>
    </row>
    <row r="18" spans="1:6" x14ac:dyDescent="0.35">
      <c r="A18" s="14" t="s">
        <v>157</v>
      </c>
      <c r="B18" s="11">
        <f>COUNTIFS(Fehler!$D$2:$D$199,"alt",Fehler!$H$2:$H$199,A18)</f>
        <v>0</v>
      </c>
      <c r="C18" s="11">
        <f>COUNTIFS(Fehler!$D$2:$D$199,"neu",Fehler!$H$2:$H$199,A18)</f>
        <v>0</v>
      </c>
    </row>
    <row r="19" spans="1:6" x14ac:dyDescent="0.35">
      <c r="A19" s="14" t="s">
        <v>158</v>
      </c>
      <c r="B19" s="11">
        <f>COUNTIFS(Fehler!$D$2:$D$199,"alt",Fehler!$H$2:$H$199,A19)</f>
        <v>0</v>
      </c>
      <c r="C19" s="11">
        <f>COUNTIFS(Fehler!$D$2:$D$199,"neu",Fehler!$H$2:$H$199,A19)</f>
        <v>0</v>
      </c>
    </row>
    <row r="20" spans="1:6" x14ac:dyDescent="0.35">
      <c r="A20" s="14" t="s">
        <v>159</v>
      </c>
      <c r="B20" s="11">
        <f>COUNTIFS(Fehler!$D$2:$D$199,"alt",Fehler!$H$2:$H$199,A20)</f>
        <v>0</v>
      </c>
      <c r="C20" s="11">
        <f>COUNTIFS(Fehler!$D$2:$D$199,"neu",Fehler!$H$2:$H$199,A20)</f>
        <v>0</v>
      </c>
    </row>
    <row r="21" spans="1:6" x14ac:dyDescent="0.35">
      <c r="A21" s="14" t="s">
        <v>160</v>
      </c>
      <c r="B21" s="11">
        <f>COUNTIFS(Fehler!$D$2:$D$199,"alt",Fehler!$H$2:$H$199,A21)</f>
        <v>0</v>
      </c>
      <c r="C21" s="11">
        <f>COUNTIFS(Fehler!$D$2:$D$199,"neu",Fehler!$H$2:$H$199,A21)</f>
        <v>0</v>
      </c>
    </row>
    <row r="22" spans="1:6" x14ac:dyDescent="0.35">
      <c r="A22" s="14" t="s">
        <v>161</v>
      </c>
      <c r="B22" s="11">
        <f>COUNTIFS(Fehler!$D$2:$D$199,"alt",Fehler!$H$2:$H$199,A22)</f>
        <v>0</v>
      </c>
      <c r="C22" s="11">
        <f>COUNTIFS(Fehler!$D$2:$D$199,"neu",Fehler!$H$2:$H$199,A22)</f>
        <v>0</v>
      </c>
    </row>
    <row r="23" spans="1:6" x14ac:dyDescent="0.35">
      <c r="A23" s="7" t="s">
        <v>162</v>
      </c>
      <c r="B23" s="30">
        <f>SUM(B18:B22)</f>
        <v>0</v>
      </c>
      <c r="C23" s="30">
        <f>SUM(C18:C22)</f>
        <v>0</v>
      </c>
    </row>
    <row r="25" spans="1:6" x14ac:dyDescent="0.35">
      <c r="A25" s="13" t="s">
        <v>163</v>
      </c>
      <c r="B25" s="26"/>
      <c r="C25" s="26"/>
      <c r="D25" s="26"/>
      <c r="E25" s="26"/>
      <c r="F25" s="26"/>
    </row>
    <row r="26" spans="1:6" x14ac:dyDescent="0.35">
      <c r="A26" s="15" t="s">
        <v>109</v>
      </c>
      <c r="B26" s="15" t="s">
        <v>102</v>
      </c>
      <c r="C26" s="15" t="s">
        <v>103</v>
      </c>
    </row>
    <row r="27" spans="1:6" x14ac:dyDescent="0.35">
      <c r="A27" s="14" t="s">
        <v>164</v>
      </c>
      <c r="B27" s="29" t="str">
        <f>IFERROR(COUNTIFS(Datenqualität!$C$2:$C$241,"alt",Datenqualität!$G$2:$G$241,"ja")/(COUNTIFS(Datenqualität!$C$2:$C$241,"alt",Datenqualität!$G$2:$G$241,"ja")+COUNTIFS(Datenqualität!$C$2:$C$241,"alt",Datenqualität!$G$2:$G$241,"nein")),"–")</f>
        <v>–</v>
      </c>
      <c r="C27" s="29" t="str">
        <f>IFERROR(COUNTIFS(Datenqualität!$C$2:$C$241,"neu",Datenqualität!$G$2:$G$241,"ja")/(COUNTIFS(Datenqualität!$C$2:$C$241,"neu",Datenqualität!$G$2:$G$241,"ja")+COUNTIFS(Datenqualität!$C$2:$C$241,"neu",Datenqualität!$G$2:$G$241,"nein")),"–")</f>
        <v>–</v>
      </c>
    </row>
    <row r="28" spans="1:6" x14ac:dyDescent="0.35">
      <c r="A28" s="14" t="s">
        <v>165</v>
      </c>
      <c r="B28" s="29" t="str">
        <f>IFERROR(COUNTIFS(Datenqualität!$C$2:$C$241,"alt",Datenqualität!$H$2:$H$241,"ja")/(COUNTIFS(Datenqualität!$C$2:$C$241,"alt",Datenqualität!$H$2:$H$241,"ja")+COUNTIFS(Datenqualität!$C$2:$C$241,"alt",Datenqualität!$H$2:$H$241,"nein")),"–")</f>
        <v>–</v>
      </c>
      <c r="C28" s="29" t="str">
        <f>IFERROR(COUNTIFS(Datenqualität!$C$2:$C$241,"neu",Datenqualität!$H$2:$H$241,"ja")/(COUNTIFS(Datenqualität!$C$2:$C$241,"neu",Datenqualität!$H$2:$H$241,"ja")+COUNTIFS(Datenqualität!$C$2:$C$241,"neu",Datenqualität!$H$2:$H$241,"nein")),"–")</f>
        <v>–</v>
      </c>
    </row>
    <row r="29" spans="1:6" x14ac:dyDescent="0.35">
      <c r="A29" s="14" t="s">
        <v>166</v>
      </c>
      <c r="B29" s="29" t="str">
        <f>IFERROR(COUNTIFS(Durchläufe!$D$2:$D$25,"alt",Durchläufe!$S$2:$S$25,"ja")/(COUNTIFS(Durchläufe!$D$2:$D$25,"alt",Durchläufe!$S$2:$S$25,"ja")+COUNTIFS(Durchläufe!$D$2:$D$25,"alt",Durchläufe!$S$2:$S$25,"nein")),"–")</f>
        <v>–</v>
      </c>
      <c r="C29" s="29" t="str">
        <f>IFERROR(COUNTIFS(Durchläufe!$D$2:$D$25,"neu",Durchläufe!$S$2:$S$25,"ja")/(COUNTIFS(Durchläufe!$D$2:$D$25,"neu",Durchläufe!$S$2:$S$25,"ja")+COUNTIFS(Durchläufe!$D$2:$D$25,"neu",Durchläufe!$S$2:$S$25,"nein")),"–")</f>
        <v>–</v>
      </c>
    </row>
    <row r="31" spans="1:6" x14ac:dyDescent="0.35">
      <c r="A31" s="13" t="s">
        <v>167</v>
      </c>
      <c r="B31" s="26"/>
      <c r="C31" s="26"/>
      <c r="D31" s="26"/>
      <c r="E31" s="26"/>
      <c r="F31" s="26"/>
    </row>
    <row r="32" spans="1:6" x14ac:dyDescent="0.35">
      <c r="A32" s="15" t="s">
        <v>123</v>
      </c>
      <c r="B32" s="15" t="s">
        <v>102</v>
      </c>
      <c r="C32" s="15" t="s">
        <v>103</v>
      </c>
    </row>
    <row r="33" spans="1:6" ht="26" customHeight="1" x14ac:dyDescent="0.35">
      <c r="A33" s="25" t="s">
        <v>168</v>
      </c>
      <c r="B33" s="20" t="str">
        <f>IFERROR(AVERAGEIFS(Befragung!$E$2:$E$49,Befragung!$C$2:$C$49,1),"–")</f>
        <v>–</v>
      </c>
      <c r="C33" s="20" t="str">
        <f>IFERROR(AVERAGEIFS(Befragung!$F$2:$F$49,Befragung!$C$2:$C$49,1),"–")</f>
        <v>–</v>
      </c>
    </row>
    <row r="34" spans="1:6" ht="26" customHeight="1" x14ac:dyDescent="0.35">
      <c r="A34" s="25" t="s">
        <v>169</v>
      </c>
      <c r="B34" s="20" t="str">
        <f>IFERROR(AVERAGEIFS(Befragung!$E$2:$E$49,Befragung!$C$2:$C$49,2),"–")</f>
        <v>–</v>
      </c>
      <c r="C34" s="20" t="str">
        <f>IFERROR(AVERAGEIFS(Befragung!$F$2:$F$49,Befragung!$C$2:$C$49,2),"–")</f>
        <v>–</v>
      </c>
    </row>
    <row r="35" spans="1:6" ht="26" customHeight="1" x14ac:dyDescent="0.35">
      <c r="A35" s="25" t="s">
        <v>170</v>
      </c>
      <c r="B35" s="20" t="str">
        <f>IFERROR(AVERAGEIFS(Befragung!$E$2:$E$49,Befragung!$C$2:$C$49,3),"–")</f>
        <v>–</v>
      </c>
      <c r="C35" s="20" t="str">
        <f>IFERROR(AVERAGEIFS(Befragung!$F$2:$F$49,Befragung!$C$2:$C$49,3),"–")</f>
        <v>–</v>
      </c>
    </row>
    <row r="36" spans="1:6" ht="26" customHeight="1" x14ac:dyDescent="0.35">
      <c r="A36" s="25" t="s">
        <v>171</v>
      </c>
      <c r="B36" s="20" t="str">
        <f>IFERROR(AVERAGEIFS(Befragung!$E$2:$E$49,Befragung!$C$2:$C$49,4),"–")</f>
        <v>–</v>
      </c>
      <c r="C36" s="20" t="str">
        <f>IFERROR(AVERAGEIFS(Befragung!$F$2:$F$49,Befragung!$C$2:$C$49,4),"–")</f>
        <v>–</v>
      </c>
    </row>
    <row r="37" spans="1:6" ht="26" customHeight="1" x14ac:dyDescent="0.35">
      <c r="A37" s="25" t="s">
        <v>172</v>
      </c>
      <c r="B37" s="20" t="str">
        <f>IFERROR(AVERAGEIFS(Befragung!$E$2:$E$49,Befragung!$C$2:$C$49,5),"–")</f>
        <v>–</v>
      </c>
      <c r="C37" s="20" t="str">
        <f>IFERROR(AVERAGEIFS(Befragung!$F$2:$F$49,Befragung!$C$2:$C$49,5),"–")</f>
        <v>–</v>
      </c>
    </row>
    <row r="38" spans="1:6" ht="26" customHeight="1" x14ac:dyDescent="0.35">
      <c r="A38" s="25" t="s">
        <v>173</v>
      </c>
      <c r="B38" s="20" t="str">
        <f>IFERROR(AVERAGEIFS(Befragung!$E$2:$E$49,Befragung!$C$2:$C$49,6),"–")</f>
        <v>–</v>
      </c>
      <c r="C38" s="20" t="str">
        <f>IFERROR(AVERAGEIFS(Befragung!$F$2:$F$49,Befragung!$C$2:$C$49,6),"–")</f>
        <v>–</v>
      </c>
    </row>
    <row r="39" spans="1:6" ht="26" customHeight="1" x14ac:dyDescent="0.35">
      <c r="A39" s="25" t="s">
        <v>174</v>
      </c>
      <c r="B39" s="20" t="str">
        <f>IFERROR(AVERAGEIFS(Befragung!$E$2:$E$49,Befragung!$C$2:$C$49,7),"–")</f>
        <v>–</v>
      </c>
      <c r="C39" s="20" t="str">
        <f>IFERROR(AVERAGEIFS(Befragung!$F$2:$F$49,Befragung!$C$2:$C$49,7),"–")</f>
        <v>–</v>
      </c>
    </row>
    <row r="41" spans="1:6" x14ac:dyDescent="0.35">
      <c r="A41" s="13" t="s">
        <v>175</v>
      </c>
      <c r="B41" s="26"/>
      <c r="C41" s="26"/>
      <c r="D41" s="26"/>
      <c r="E41" s="26"/>
      <c r="F41" s="26"/>
    </row>
    <row r="42" spans="1:6" x14ac:dyDescent="0.35">
      <c r="A42" s="14" t="s">
        <v>176</v>
      </c>
      <c r="B42" s="31">
        <f>IF(Testdaten!B8="","–",Testdaten!B8)</f>
        <v>256</v>
      </c>
    </row>
    <row r="43" spans="1:6" x14ac:dyDescent="0.35">
      <c r="A43" s="14" t="s">
        <v>177</v>
      </c>
      <c r="B43" s="20" t="str">
        <f>IFERROR(B9-D9,"–")</f>
        <v>–</v>
      </c>
    </row>
    <row r="44" spans="1:6" x14ac:dyDescent="0.35">
      <c r="A44" s="14" t="s">
        <v>178</v>
      </c>
      <c r="B44" s="20" t="str">
        <f>IFERROR(B9-C9,"–")</f>
        <v>–</v>
      </c>
    </row>
    <row r="45" spans="1:6" x14ac:dyDescent="0.35">
      <c r="A45" s="14" t="s">
        <v>179</v>
      </c>
      <c r="B45" s="28" t="str">
        <f>IFERROR(B43*B42/60,"–")</f>
        <v>–</v>
      </c>
    </row>
    <row r="46" spans="1:6" x14ac:dyDescent="0.35">
      <c r="A46" s="14" t="s">
        <v>180</v>
      </c>
      <c r="B46" s="28" t="str">
        <f>IFERROR(B44*B42/60,"–")</f>
        <v>–</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Anleitung</vt:lpstr>
      <vt:lpstr>Testdaten</vt:lpstr>
      <vt:lpstr>Beobachtung TSM</vt:lpstr>
      <vt:lpstr>Durchläufe</vt:lpstr>
      <vt:lpstr>Fehler</vt:lpstr>
      <vt:lpstr>Datenqualität</vt:lpstr>
      <vt:lpstr>Befragung</vt:lpstr>
      <vt:lpstr>Auswertung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Dennis Sacher</cp:lastModifiedBy>
  <dcterms:created xsi:type="dcterms:W3CDTF">2026-10-12T13:19:52Z</dcterms:created>
  <dcterms:modified xsi:type="dcterms:W3CDTF">2026-10-15T14:30:42Z</dcterms:modified>
</cp:coreProperties>
</file>